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rti\Downloads\"/>
    </mc:Choice>
  </mc:AlternateContent>
  <xr:revisionPtr revIDLastSave="0" documentId="13_ncr:1_{A69437C8-19F3-4F54-98EE-7C6D9AD3A8DB}" xr6:coauthVersionLast="47" xr6:coauthVersionMax="47" xr10:uidLastSave="{00000000-0000-0000-0000-000000000000}"/>
  <bookViews>
    <workbookView xWindow="-108" yWindow="-108" windowWidth="23256" windowHeight="13176" xr2:uid="{5CFD29D8-4F30-4658-B2EB-4F02685967F3}"/>
  </bookViews>
  <sheets>
    <sheet name="Income Statement" sheetId="1" r:id="rId1"/>
    <sheet name="Balance Sheet" sheetId="3" r:id="rId2"/>
    <sheet name="Cash Flow Statement" sheetId="4" r:id="rId3"/>
    <sheet name="Fixed Assets" sheetId="2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3" l="1"/>
  <c r="F5" i="3"/>
  <c r="G5" i="3"/>
  <c r="G7" i="3" s="1"/>
  <c r="H5" i="3"/>
  <c r="H7" i="3" s="1"/>
  <c r="D5" i="3"/>
  <c r="D7" i="3" s="1"/>
  <c r="D13" i="3" s="1"/>
  <c r="D4" i="4"/>
  <c r="E4" i="4"/>
  <c r="F4" i="4"/>
  <c r="G4" i="4"/>
  <c r="D6" i="4"/>
  <c r="E6" i="4"/>
  <c r="F6" i="4"/>
  <c r="G6" i="4"/>
  <c r="D7" i="4"/>
  <c r="E7" i="4"/>
  <c r="F7" i="4"/>
  <c r="G7" i="4"/>
  <c r="D8" i="4"/>
  <c r="D10" i="4" s="1"/>
  <c r="E8" i="4"/>
  <c r="F8" i="4"/>
  <c r="G8" i="4"/>
  <c r="D9" i="4"/>
  <c r="E9" i="4"/>
  <c r="F9" i="4"/>
  <c r="G9" i="4"/>
  <c r="E10" i="4"/>
  <c r="F10" i="4"/>
  <c r="G10" i="4"/>
  <c r="D12" i="4"/>
  <c r="D13" i="4" s="1"/>
  <c r="E12" i="4"/>
  <c r="F12" i="4"/>
  <c r="G12" i="4"/>
  <c r="E13" i="4"/>
  <c r="F13" i="4"/>
  <c r="G13" i="4"/>
  <c r="D15" i="4"/>
  <c r="D17" i="4" s="1"/>
  <c r="E15" i="4"/>
  <c r="E17" i="4" s="1"/>
  <c r="E18" i="4" s="1"/>
  <c r="F15" i="4"/>
  <c r="F17" i="4" s="1"/>
  <c r="F18" i="4" s="1"/>
  <c r="G15" i="4"/>
  <c r="G17" i="4" s="1"/>
  <c r="G18" i="4" s="1"/>
  <c r="D16" i="4"/>
  <c r="E16" i="4"/>
  <c r="F16" i="4"/>
  <c r="G16" i="4"/>
  <c r="C17" i="4"/>
  <c r="C18" i="4"/>
  <c r="C15" i="4"/>
  <c r="C16" i="4"/>
  <c r="C13" i="4"/>
  <c r="C12" i="4"/>
  <c r="C9" i="4"/>
  <c r="C10" i="4" s="1"/>
  <c r="C8" i="4"/>
  <c r="C7" i="4"/>
  <c r="C6" i="4"/>
  <c r="C4" i="4"/>
  <c r="B9" i="4"/>
  <c r="B8" i="4"/>
  <c r="B7" i="4"/>
  <c r="D3" i="4"/>
  <c r="E3" i="4" s="1"/>
  <c r="F3" i="4" s="1"/>
  <c r="G3" i="4" s="1"/>
  <c r="D23" i="1"/>
  <c r="E23" i="1"/>
  <c r="F23" i="1"/>
  <c r="G23" i="1"/>
  <c r="C23" i="1"/>
  <c r="E42" i="3"/>
  <c r="F42" i="3"/>
  <c r="G42" i="3"/>
  <c r="H42" i="3"/>
  <c r="D42" i="3"/>
  <c r="E24" i="3"/>
  <c r="F24" i="3"/>
  <c r="G24" i="3"/>
  <c r="H24" i="3"/>
  <c r="D24" i="3"/>
  <c r="D21" i="3"/>
  <c r="E21" i="3"/>
  <c r="F21" i="3"/>
  <c r="G21" i="3"/>
  <c r="H21" i="3"/>
  <c r="D22" i="3"/>
  <c r="E22" i="3"/>
  <c r="F22" i="3"/>
  <c r="G22" i="3"/>
  <c r="H22" i="3"/>
  <c r="E20" i="3"/>
  <c r="F20" i="3" s="1"/>
  <c r="G20" i="3" s="1"/>
  <c r="H20" i="3" s="1"/>
  <c r="D20" i="3"/>
  <c r="D11" i="3"/>
  <c r="E11" i="3"/>
  <c r="F11" i="3"/>
  <c r="G11" i="3"/>
  <c r="H11" i="3"/>
  <c r="D12" i="3"/>
  <c r="E12" i="3"/>
  <c r="F12" i="3"/>
  <c r="G12" i="3"/>
  <c r="H12" i="3"/>
  <c r="E10" i="3"/>
  <c r="F10" i="3"/>
  <c r="G10" i="3"/>
  <c r="H10" i="3"/>
  <c r="D10" i="3"/>
  <c r="H9" i="3"/>
  <c r="E9" i="3"/>
  <c r="F9" i="3"/>
  <c r="G9" i="3"/>
  <c r="D9" i="3"/>
  <c r="E6" i="3"/>
  <c r="F6" i="3"/>
  <c r="G6" i="3"/>
  <c r="H6" i="3"/>
  <c r="E7" i="3"/>
  <c r="E13" i="3" s="1"/>
  <c r="F7" i="3"/>
  <c r="E16" i="3"/>
  <c r="F16" i="3"/>
  <c r="G16" i="3"/>
  <c r="H16" i="3"/>
  <c r="H18" i="3" s="1"/>
  <c r="E17" i="3"/>
  <c r="F17" i="3"/>
  <c r="G17" i="3"/>
  <c r="H17" i="3"/>
  <c r="D18" i="3"/>
  <c r="E18" i="3"/>
  <c r="F18" i="3"/>
  <c r="G18" i="3"/>
  <c r="D17" i="3"/>
  <c r="D16" i="3"/>
  <c r="D6" i="3"/>
  <c r="E34" i="3"/>
  <c r="F34" i="3"/>
  <c r="G34" i="3"/>
  <c r="H34" i="3"/>
  <c r="E35" i="3"/>
  <c r="F35" i="3"/>
  <c r="G35" i="3"/>
  <c r="H35" i="3"/>
  <c r="E36" i="3"/>
  <c r="F36" i="3"/>
  <c r="G36" i="3"/>
  <c r="H36" i="3" s="1"/>
  <c r="D35" i="3"/>
  <c r="D36" i="3"/>
  <c r="D34" i="3"/>
  <c r="C36" i="3"/>
  <c r="C35" i="3"/>
  <c r="C34" i="3"/>
  <c r="D33" i="3"/>
  <c r="E33" i="3"/>
  <c r="F33" i="3"/>
  <c r="G33" i="3"/>
  <c r="H33" i="3"/>
  <c r="E32" i="3"/>
  <c r="F32" i="3"/>
  <c r="G32" i="3"/>
  <c r="H32" i="3"/>
  <c r="D32" i="3"/>
  <c r="B35" i="3"/>
  <c r="B36" i="3"/>
  <c r="B34" i="3"/>
  <c r="C27" i="3"/>
  <c r="C29" i="3" s="1"/>
  <c r="C26" i="3"/>
  <c r="C22" i="3"/>
  <c r="C21" i="3"/>
  <c r="C18" i="3"/>
  <c r="C13" i="3"/>
  <c r="C12" i="3"/>
  <c r="C11" i="3"/>
  <c r="C7" i="3"/>
  <c r="D3" i="3"/>
  <c r="E3" i="3" s="1"/>
  <c r="F3" i="3" s="1"/>
  <c r="G3" i="3" s="1"/>
  <c r="H3" i="3" s="1"/>
  <c r="D21" i="1"/>
  <c r="E21" i="1"/>
  <c r="F21" i="1"/>
  <c r="G21" i="1"/>
  <c r="C21" i="1"/>
  <c r="C22" i="1" s="1"/>
  <c r="C24" i="1" s="1"/>
  <c r="H14" i="2"/>
  <c r="H13" i="2"/>
  <c r="H12" i="2"/>
  <c r="H15" i="2"/>
  <c r="E15" i="2"/>
  <c r="F15" i="2"/>
  <c r="G15" i="2"/>
  <c r="G12" i="2"/>
  <c r="E12" i="2"/>
  <c r="F12" i="2"/>
  <c r="E13" i="2"/>
  <c r="F13" i="2"/>
  <c r="G13" i="2"/>
  <c r="E14" i="2"/>
  <c r="F14" i="2"/>
  <c r="G14" i="2"/>
  <c r="D15" i="2"/>
  <c r="D13" i="2"/>
  <c r="D14" i="2"/>
  <c r="D12" i="2"/>
  <c r="E8" i="2"/>
  <c r="F8" i="2"/>
  <c r="G8" i="2"/>
  <c r="H8" i="2"/>
  <c r="D8" i="2"/>
  <c r="B14" i="2"/>
  <c r="B13" i="2"/>
  <c r="B12" i="2"/>
  <c r="E3" i="2"/>
  <c r="F3" i="2" s="1"/>
  <c r="G3" i="2" s="1"/>
  <c r="H3" i="2" s="1"/>
  <c r="D5" i="1"/>
  <c r="D18" i="1" s="1"/>
  <c r="E5" i="1"/>
  <c r="F5" i="1"/>
  <c r="G5" i="1"/>
  <c r="E6" i="1"/>
  <c r="F6" i="1"/>
  <c r="G6" i="1"/>
  <c r="E7" i="1"/>
  <c r="E13" i="1" s="1"/>
  <c r="F7" i="1"/>
  <c r="F13" i="1" s="1"/>
  <c r="G7" i="1"/>
  <c r="G13" i="1" s="1"/>
  <c r="E9" i="1"/>
  <c r="F9" i="1"/>
  <c r="G9" i="1"/>
  <c r="E10" i="1"/>
  <c r="E12" i="1" s="1"/>
  <c r="F10" i="1"/>
  <c r="F12" i="1" s="1"/>
  <c r="G10" i="1"/>
  <c r="G12" i="1" s="1"/>
  <c r="E11" i="1"/>
  <c r="F11" i="1"/>
  <c r="G11" i="1"/>
  <c r="D16" i="1"/>
  <c r="E16" i="1"/>
  <c r="F16" i="1"/>
  <c r="G16" i="1"/>
  <c r="E17" i="1"/>
  <c r="E19" i="1" s="1"/>
  <c r="F17" i="1"/>
  <c r="F19" i="1" s="1"/>
  <c r="G17" i="1"/>
  <c r="G19" i="1" s="1"/>
  <c r="E18" i="1"/>
  <c r="F18" i="1"/>
  <c r="G18" i="1"/>
  <c r="C20" i="1"/>
  <c r="C19" i="1"/>
  <c r="C17" i="1"/>
  <c r="C18" i="1"/>
  <c r="C16" i="1"/>
  <c r="B38" i="1"/>
  <c r="B39" i="1"/>
  <c r="B37" i="1"/>
  <c r="C11" i="1"/>
  <c r="C10" i="1"/>
  <c r="C9" i="1"/>
  <c r="C12" i="1" s="1"/>
  <c r="C5" i="1"/>
  <c r="C6" i="1" s="1"/>
  <c r="B34" i="1"/>
  <c r="D3" i="1"/>
  <c r="E3" i="1" s="1"/>
  <c r="F3" i="1" s="1"/>
  <c r="G3" i="1" s="1"/>
  <c r="H13" i="3" l="1"/>
  <c r="G13" i="3"/>
  <c r="F13" i="3"/>
  <c r="D18" i="4"/>
  <c r="C25" i="1"/>
  <c r="C26" i="1" s="1"/>
  <c r="F14" i="1"/>
  <c r="F20" i="1"/>
  <c r="F22" i="1" s="1"/>
  <c r="F24" i="1" s="1"/>
  <c r="E20" i="1"/>
  <c r="E22" i="1" s="1"/>
  <c r="E24" i="1" s="1"/>
  <c r="E14" i="1"/>
  <c r="G14" i="1"/>
  <c r="G20" i="1"/>
  <c r="G22" i="1" s="1"/>
  <c r="G24" i="1" s="1"/>
  <c r="D11" i="1"/>
  <c r="D6" i="1"/>
  <c r="D9" i="1"/>
  <c r="D12" i="1" s="1"/>
  <c r="D7" i="1"/>
  <c r="D13" i="1" s="1"/>
  <c r="D17" i="1"/>
  <c r="D19" i="1" s="1"/>
  <c r="D10" i="1"/>
  <c r="C7" i="1"/>
  <c r="C28" i="1" l="1"/>
  <c r="D25" i="3"/>
  <c r="D14" i="1"/>
  <c r="D20" i="1"/>
  <c r="D22" i="1" s="1"/>
  <c r="D24" i="1" s="1"/>
  <c r="G25" i="1"/>
  <c r="G26" i="1" s="1"/>
  <c r="G28" i="1" s="1"/>
  <c r="E25" i="1"/>
  <c r="E26" i="1" s="1"/>
  <c r="E28" i="1" s="1"/>
  <c r="F25" i="1"/>
  <c r="F26" i="1" s="1"/>
  <c r="F28" i="1" s="1"/>
  <c r="C13" i="1"/>
  <c r="C14" i="1" s="1"/>
  <c r="D26" i="3" l="1"/>
  <c r="D27" i="3" s="1"/>
  <c r="D29" i="3" s="1"/>
  <c r="E25" i="3"/>
  <c r="D25" i="1"/>
  <c r="D26" i="1" s="1"/>
  <c r="D28" i="1" s="1"/>
  <c r="F25" i="3" l="1"/>
  <c r="E26" i="3"/>
  <c r="E27" i="3" s="1"/>
  <c r="E29" i="3" s="1"/>
  <c r="G25" i="3" l="1"/>
  <c r="F26" i="3"/>
  <c r="F27" i="3" s="1"/>
  <c r="F29" i="3" s="1"/>
  <c r="H25" i="3" l="1"/>
  <c r="H26" i="3" s="1"/>
  <c r="H27" i="3" s="1"/>
  <c r="H29" i="3" s="1"/>
  <c r="G26" i="3"/>
  <c r="G27" i="3" s="1"/>
  <c r="G29" i="3" s="1"/>
</calcChain>
</file>

<file path=xl/sharedStrings.xml><?xml version="1.0" encoding="utf-8"?>
<sst xmlns="http://schemas.openxmlformats.org/spreadsheetml/2006/main" count="96" uniqueCount="84">
  <si>
    <t>Income Statement</t>
  </si>
  <si>
    <t>$ in actual figures</t>
  </si>
  <si>
    <t xml:space="preserve">Revenue </t>
  </si>
  <si>
    <t>Gross Profit</t>
  </si>
  <si>
    <t>Discounts</t>
  </si>
  <si>
    <t>Net Revenue</t>
  </si>
  <si>
    <t>Cost Of Goods Sold (COGS)</t>
  </si>
  <si>
    <t>Raw Materials</t>
  </si>
  <si>
    <t>Fulfillment</t>
  </si>
  <si>
    <t>Transaction Fees</t>
  </si>
  <si>
    <t>Total COGS</t>
  </si>
  <si>
    <t>Gross Revenue</t>
  </si>
  <si>
    <t>Gross Profit Margin %</t>
  </si>
  <si>
    <t>Operating Expenses</t>
  </si>
  <si>
    <t>Labor</t>
  </si>
  <si>
    <t>Marketing</t>
  </si>
  <si>
    <t>SGA &amp; Other</t>
  </si>
  <si>
    <t>Total OpEx</t>
  </si>
  <si>
    <t>EBITDA</t>
  </si>
  <si>
    <t>Depreciation &amp; Amortization</t>
  </si>
  <si>
    <t>EBIT</t>
  </si>
  <si>
    <t>Interest &amp; Expense</t>
  </si>
  <si>
    <t>EBT</t>
  </si>
  <si>
    <t>Taxes</t>
  </si>
  <si>
    <t>Net Income</t>
  </si>
  <si>
    <t>Net Income as % of Revenue</t>
  </si>
  <si>
    <t>Assumptions:</t>
  </si>
  <si>
    <t>Revenue</t>
  </si>
  <si>
    <t>Cups Sold</t>
  </si>
  <si>
    <t>Average Price per Cup</t>
  </si>
  <si>
    <t>Cost of Goods Sold (COGS)</t>
  </si>
  <si>
    <t>Corporate Tax Rate</t>
  </si>
  <si>
    <t>Labor as a % of revenue</t>
  </si>
  <si>
    <t>Marketing  as a % of revenue</t>
  </si>
  <si>
    <t>SG&amp;A  as a % of revenue</t>
  </si>
  <si>
    <t>Fixed Assets</t>
  </si>
  <si>
    <t>Asset Life (Years)</t>
  </si>
  <si>
    <t>CapEx</t>
  </si>
  <si>
    <t>Lemon Crusher</t>
  </si>
  <si>
    <t>Ice Machine</t>
  </si>
  <si>
    <t>Refrigerator</t>
  </si>
  <si>
    <t>Total CapEx</t>
  </si>
  <si>
    <t>Depreciation</t>
  </si>
  <si>
    <t>Existing Equipment</t>
  </si>
  <si>
    <t>Total D&amp;A</t>
  </si>
  <si>
    <t>Balance Sheet</t>
  </si>
  <si>
    <t>Historical</t>
  </si>
  <si>
    <t>Current Assets</t>
  </si>
  <si>
    <t>Cash</t>
  </si>
  <si>
    <t>Accounts Receivable</t>
  </si>
  <si>
    <t>Total Current Assets</t>
  </si>
  <si>
    <t>Non Current Assets</t>
  </si>
  <si>
    <t>Accumulated Depreciation</t>
  </si>
  <si>
    <t>Net Fixed Assets</t>
  </si>
  <si>
    <t>Total Non Current Assets</t>
  </si>
  <si>
    <t>Total Assets</t>
  </si>
  <si>
    <t>Current Liabilities</t>
  </si>
  <si>
    <t>Accounts Payable</t>
  </si>
  <si>
    <t>Deferred Revenue</t>
  </si>
  <si>
    <t>Total Current Liabilitites</t>
  </si>
  <si>
    <t>Non Current Liabilities</t>
  </si>
  <si>
    <t>Debt</t>
  </si>
  <si>
    <t>Total Non Current Liabilitites</t>
  </si>
  <si>
    <t>Total Liabilitites</t>
  </si>
  <si>
    <t>Equity</t>
  </si>
  <si>
    <t>Common Stock</t>
  </si>
  <si>
    <t>Retained Earnings</t>
  </si>
  <si>
    <t>Total Equity</t>
  </si>
  <si>
    <t>Total Liabilities &amp; Equity</t>
  </si>
  <si>
    <t>Balance Check</t>
  </si>
  <si>
    <t>COGS</t>
  </si>
  <si>
    <t>Net Borrowing</t>
  </si>
  <si>
    <t>Debt Repayment</t>
  </si>
  <si>
    <t>Interest Rate</t>
  </si>
  <si>
    <t>Interest Payment</t>
  </si>
  <si>
    <t>Statement of Cashflows</t>
  </si>
  <si>
    <t>Operating Activities</t>
  </si>
  <si>
    <t>Operating Cash Flow</t>
  </si>
  <si>
    <t>Investing Activities</t>
  </si>
  <si>
    <t>Investing Cash Flow</t>
  </si>
  <si>
    <t>Financing Activities</t>
  </si>
  <si>
    <t>Net Borrowings</t>
  </si>
  <si>
    <t>Financing Cash Flow</t>
  </si>
  <si>
    <t>Net Cash 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</si>
</sst>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_);_(* \(#,##0\);_(* &quot;-&quot;??_);_(@_)"/>
    <numFmt numFmtId="165" formatCode="&quot;$&quot;#,##0_);[Red]\(&quot;$&quot;#,##0\)"/>
    <numFmt numFmtId="166" formatCode="_(&quot;$&quot;* #,##0_);_(&quot;$&quot;* \(#,##0\);_(&quot;$&quot;* &quot;-&quot;??_);_(@_)"/>
    <numFmt numFmtId="167" formatCode="0.0%"/>
    <numFmt numFmtId="168" formatCode="mmm/yy\E"/>
    <numFmt numFmtId="169" formatCode="0_ ;\(0\)"/>
    <numFmt numFmtId="170" formatCode="yyyy\E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rgb="FF0432FF"/>
      <name val="Calibri"/>
      <family val="2"/>
    </font>
    <font>
      <sz val="11"/>
      <color theme="1"/>
      <name val="Calibri"/>
      <family val="2"/>
    </font>
    <font>
      <i/>
      <sz val="11"/>
      <color theme="1"/>
      <name val="Calibri"/>
      <family val="2"/>
    </font>
    <font>
      <b/>
      <i/>
      <sz val="11"/>
      <color theme="1"/>
      <name val="Calibri"/>
      <family val="2"/>
    </font>
    <font>
      <sz val="11"/>
      <color rgb="FF2741EE"/>
      <name val="Calibri"/>
      <family val="2"/>
    </font>
    <font>
      <sz val="11"/>
      <color theme="4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E7E6E6"/>
        <bgColor rgb="FFE7E6E6"/>
      </patternFill>
    </fill>
    <fill>
      <patternFill patternType="solid">
        <fgColor rgb="FFD9E2F3"/>
        <bgColor rgb="FFD9E2F3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0">
    <xf numFmtId="0" fontId="0" fillId="0" borderId="0" xfId="0"/>
    <xf numFmtId="0" fontId="0" fillId="0" borderId="0" xfId="0" applyAlignment="1">
      <alignment horizontal="left" indent="1"/>
    </xf>
    <xf numFmtId="0" fontId="3" fillId="3" borderId="0" xfId="0" applyFont="1" applyFill="1"/>
    <xf numFmtId="0" fontId="0" fillId="3" borderId="0" xfId="0" applyFill="1"/>
    <xf numFmtId="0" fontId="0" fillId="3" borderId="0" xfId="0" applyFill="1" applyAlignment="1">
      <alignment horizontal="left"/>
    </xf>
    <xf numFmtId="164" fontId="4" fillId="3" borderId="0" xfId="0" applyNumberFormat="1" applyFont="1" applyFill="1"/>
    <xf numFmtId="165" fontId="4" fillId="3" borderId="0" xfId="0" applyNumberFormat="1" applyFont="1" applyFill="1"/>
    <xf numFmtId="9" fontId="4" fillId="3" borderId="0" xfId="0" applyNumberFormat="1" applyFont="1" applyFill="1"/>
    <xf numFmtId="0" fontId="4" fillId="3" borderId="0" xfId="0" applyFont="1" applyFill="1"/>
    <xf numFmtId="0" fontId="3" fillId="2" borderId="0" xfId="0" applyFont="1" applyFill="1"/>
    <xf numFmtId="0" fontId="5" fillId="2" borderId="0" xfId="0" applyFont="1" applyFill="1"/>
    <xf numFmtId="0" fontId="5" fillId="0" borderId="0" xfId="0" applyFont="1"/>
    <xf numFmtId="0" fontId="6" fillId="2" borderId="1" xfId="0" applyFont="1" applyFill="1" applyBorder="1"/>
    <xf numFmtId="17" fontId="5" fillId="2" borderId="1" xfId="0" applyNumberFormat="1" applyFont="1" applyFill="1" applyBorder="1"/>
    <xf numFmtId="0" fontId="5" fillId="0" borderId="0" xfId="0" applyFont="1" applyAlignment="1">
      <alignment horizontal="left" indent="1"/>
    </xf>
    <xf numFmtId="0" fontId="3" fillId="0" borderId="2" xfId="0" applyFont="1" applyBorder="1"/>
    <xf numFmtId="0" fontId="3" fillId="0" borderId="0" xfId="0" applyFont="1"/>
    <xf numFmtId="0" fontId="6" fillId="0" borderId="0" xfId="0" applyFont="1"/>
    <xf numFmtId="0" fontId="5" fillId="3" borderId="0" xfId="0" applyFont="1" applyFill="1"/>
    <xf numFmtId="0" fontId="5" fillId="3" borderId="0" xfId="0" applyFont="1" applyFill="1" applyAlignment="1">
      <alignment horizontal="left" indent="1"/>
    </xf>
    <xf numFmtId="164" fontId="5" fillId="0" borderId="0" xfId="0" applyNumberFormat="1" applyFont="1"/>
    <xf numFmtId="164" fontId="3" fillId="0" borderId="2" xfId="0" applyNumberFormat="1" applyFont="1" applyBorder="1"/>
    <xf numFmtId="164" fontId="3" fillId="0" borderId="0" xfId="0" applyNumberFormat="1" applyFont="1"/>
    <xf numFmtId="0" fontId="5" fillId="0" borderId="1" xfId="0" applyFont="1" applyBorder="1"/>
    <xf numFmtId="164" fontId="5" fillId="0" borderId="1" xfId="0" applyNumberFormat="1" applyFont="1" applyBorder="1"/>
    <xf numFmtId="9" fontId="5" fillId="0" borderId="0" xfId="1" applyFont="1"/>
    <xf numFmtId="0" fontId="3" fillId="4" borderId="0" xfId="0" applyFont="1" applyFill="1"/>
    <xf numFmtId="0" fontId="6" fillId="4" borderId="3" xfId="0" applyFont="1" applyFill="1" applyBorder="1"/>
    <xf numFmtId="0" fontId="7" fillId="4" borderId="3" xfId="0" applyFont="1" applyFill="1" applyBorder="1"/>
    <xf numFmtId="0" fontId="0" fillId="0" borderId="0" xfId="0" applyAlignment="1">
      <alignment horizontal="left"/>
    </xf>
    <xf numFmtId="0" fontId="4" fillId="3" borderId="0" xfId="0" applyFont="1" applyFill="1" applyAlignment="1">
      <alignment horizontal="center"/>
    </xf>
    <xf numFmtId="166" fontId="8" fillId="0" borderId="0" xfId="0" applyNumberFormat="1" applyFont="1"/>
    <xf numFmtId="0" fontId="8" fillId="0" borderId="0" xfId="0" applyFont="1"/>
    <xf numFmtId="166" fontId="0" fillId="0" borderId="0" xfId="0" applyNumberFormat="1"/>
    <xf numFmtId="17" fontId="3" fillId="4" borderId="3" xfId="0" applyNumberFormat="1" applyFont="1" applyFill="1" applyBorder="1" applyAlignment="1">
      <alignment horizontal="center"/>
    </xf>
    <xf numFmtId="0" fontId="2" fillId="0" borderId="4" xfId="0" applyFont="1" applyBorder="1"/>
    <xf numFmtId="166" fontId="2" fillId="0" borderId="4" xfId="0" applyNumberFormat="1" applyFont="1" applyBorder="1"/>
    <xf numFmtId="0" fontId="0" fillId="0" borderId="4" xfId="0" applyBorder="1"/>
    <xf numFmtId="166" fontId="0" fillId="0" borderId="4" xfId="0" applyNumberFormat="1" applyBorder="1"/>
    <xf numFmtId="0" fontId="6" fillId="4" borderId="0" xfId="0" applyFont="1" applyFill="1" applyAlignment="1">
      <alignment horizontal="right"/>
    </xf>
    <xf numFmtId="164" fontId="4" fillId="0" borderId="0" xfId="0" applyNumberFormat="1" applyFont="1"/>
    <xf numFmtId="164" fontId="0" fillId="0" borderId="0" xfId="0" applyNumberFormat="1"/>
    <xf numFmtId="0" fontId="4" fillId="0" borderId="0" xfId="0" applyFont="1"/>
    <xf numFmtId="164" fontId="0" fillId="3" borderId="0" xfId="0" applyNumberFormat="1" applyFill="1"/>
    <xf numFmtId="164" fontId="8" fillId="3" borderId="0" xfId="0" applyNumberFormat="1" applyFont="1" applyFill="1"/>
    <xf numFmtId="167" fontId="0" fillId="3" borderId="0" xfId="0" applyNumberFormat="1" applyFill="1"/>
    <xf numFmtId="0" fontId="9" fillId="3" borderId="0" xfId="0" applyFont="1" applyFill="1"/>
    <xf numFmtId="168" fontId="3" fillId="4" borderId="3" xfId="0" applyNumberFormat="1" applyFont="1" applyFill="1" applyBorder="1" applyAlignment="1">
      <alignment horizontal="center"/>
    </xf>
    <xf numFmtId="164" fontId="2" fillId="0" borderId="2" xfId="0" applyNumberFormat="1" applyFont="1" applyBorder="1"/>
    <xf numFmtId="0" fontId="5" fillId="0" borderId="5" xfId="0" applyFont="1" applyBorder="1"/>
    <xf numFmtId="164" fontId="0" fillId="0" borderId="5" xfId="0" applyNumberFormat="1" applyBorder="1"/>
    <xf numFmtId="164" fontId="2" fillId="0" borderId="4" xfId="0" applyNumberFormat="1" applyFont="1" applyBorder="1"/>
    <xf numFmtId="0" fontId="3" fillId="0" borderId="4" xfId="0" applyFont="1" applyBorder="1"/>
    <xf numFmtId="0" fontId="2" fillId="0" borderId="5" xfId="0" applyFont="1" applyBorder="1" applyAlignment="1">
      <alignment horizontal="left"/>
    </xf>
    <xf numFmtId="164" fontId="2" fillId="0" borderId="5" xfId="0" applyNumberFormat="1" applyFont="1" applyBorder="1"/>
    <xf numFmtId="0" fontId="0" fillId="3" borderId="0" xfId="0" applyFill="1" applyAlignment="1">
      <alignment horizontal="left" indent="1"/>
    </xf>
    <xf numFmtId="169" fontId="0" fillId="3" borderId="0" xfId="0" applyNumberFormat="1" applyFill="1"/>
    <xf numFmtId="1" fontId="2" fillId="0" borderId="2" xfId="0" applyNumberFormat="1" applyFont="1" applyBorder="1"/>
    <xf numFmtId="170" fontId="3" fillId="4" borderId="3" xfId="0" applyNumberFormat="1" applyFont="1" applyFill="1" applyBorder="1" applyAlignment="1">
      <alignment horizontal="center"/>
    </xf>
    <xf numFmtId="0" fontId="2" fillId="0" borderId="2" xfId="0" applyFont="1" applyBorder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arti\Downloads\Start%20File%203%20Statement%20Model_v2.xlsx" TargetMode="External"/><Relationship Id="rId1" Type="http://schemas.openxmlformats.org/officeDocument/2006/relationships/externalLinkPath" Target="Start%20File%203%20Statement%20Model_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come Statement"/>
      <sheetName val="Balance Sheet"/>
      <sheetName val="Statement of Cashflows"/>
      <sheetName val="Fixed Assets"/>
    </sheetNames>
    <sheetDataSet>
      <sheetData sheetId="0"/>
      <sheetData sheetId="1">
        <row r="6">
          <cell r="B6" t="str">
            <v>Accounts Receivable</v>
          </cell>
        </row>
        <row r="16">
          <cell r="B16" t="str">
            <v>Accounts Payable</v>
          </cell>
        </row>
        <row r="17">
          <cell r="B17" t="str">
            <v>Deferred Revenue</v>
          </cell>
        </row>
      </sheetData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E4C03-C107-4DA1-9F58-BF60260B47EE}">
  <sheetPr>
    <tabColor theme="7" tint="-0.499984740745262"/>
  </sheetPr>
  <dimension ref="B2:G46"/>
  <sheetViews>
    <sheetView showGridLines="0" tabSelected="1" topLeftCell="A8" zoomScale="115" workbookViewId="0">
      <selection activeCell="I23" sqref="I23"/>
    </sheetView>
  </sheetViews>
  <sheetFormatPr defaultRowHeight="14.4" x14ac:dyDescent="0.3"/>
  <cols>
    <col min="1" max="1" width="8.88671875" style="11"/>
    <col min="2" max="2" width="24.77734375" style="11" bestFit="1" customWidth="1"/>
    <col min="3" max="7" width="11.77734375" style="11" customWidth="1"/>
    <col min="8" max="16384" width="8.88671875" style="11"/>
  </cols>
  <sheetData>
    <row r="2" spans="2:7" x14ac:dyDescent="0.3">
      <c r="B2" s="9" t="s">
        <v>0</v>
      </c>
      <c r="C2" s="10"/>
      <c r="D2" s="10"/>
      <c r="E2" s="10"/>
      <c r="F2" s="10"/>
      <c r="G2" s="10"/>
    </row>
    <row r="3" spans="2:7" x14ac:dyDescent="0.3">
      <c r="B3" s="12" t="s">
        <v>1</v>
      </c>
      <c r="C3" s="13">
        <v>44562</v>
      </c>
      <c r="D3" s="13">
        <f>EOMONTH(C3,12)</f>
        <v>44957</v>
      </c>
      <c r="E3" s="13">
        <f t="shared" ref="E3:G3" si="0">EOMONTH(D3,12)</f>
        <v>45322</v>
      </c>
      <c r="F3" s="13">
        <f t="shared" si="0"/>
        <v>45688</v>
      </c>
      <c r="G3" s="13">
        <f t="shared" si="0"/>
        <v>46053</v>
      </c>
    </row>
    <row r="4" spans="2:7" x14ac:dyDescent="0.3">
      <c r="B4" s="11" t="s">
        <v>2</v>
      </c>
    </row>
    <row r="5" spans="2:7" x14ac:dyDescent="0.3">
      <c r="B5" s="14" t="s">
        <v>11</v>
      </c>
      <c r="C5" s="20">
        <f>C32*C33</f>
        <v>25000</v>
      </c>
      <c r="D5" s="20">
        <f t="shared" ref="D5:G5" si="1">D32*D33</f>
        <v>27500</v>
      </c>
      <c r="E5" s="20">
        <f t="shared" si="1"/>
        <v>32500</v>
      </c>
      <c r="F5" s="20">
        <f t="shared" si="1"/>
        <v>40000</v>
      </c>
      <c r="G5" s="20">
        <f t="shared" si="1"/>
        <v>50000</v>
      </c>
    </row>
    <row r="6" spans="2:7" x14ac:dyDescent="0.3">
      <c r="B6" s="14" t="s">
        <v>4</v>
      </c>
      <c r="C6" s="20">
        <f>C5*-C34</f>
        <v>-1250</v>
      </c>
      <c r="D6" s="20">
        <f t="shared" ref="D6:G6" si="2">D5*-D34</f>
        <v>-1375</v>
      </c>
      <c r="E6" s="20">
        <f t="shared" si="2"/>
        <v>-1625</v>
      </c>
      <c r="F6" s="20">
        <f t="shared" si="2"/>
        <v>-2000</v>
      </c>
      <c r="G6" s="20">
        <f t="shared" si="2"/>
        <v>-2500</v>
      </c>
    </row>
    <row r="7" spans="2:7" x14ac:dyDescent="0.3">
      <c r="B7" s="15" t="s">
        <v>5</v>
      </c>
      <c r="C7" s="21">
        <f>SUM(C5:C6)</f>
        <v>23750</v>
      </c>
      <c r="D7" s="21">
        <f t="shared" ref="D7:G7" si="3">SUM(D5:D6)</f>
        <v>26125</v>
      </c>
      <c r="E7" s="21">
        <f t="shared" si="3"/>
        <v>30875</v>
      </c>
      <c r="F7" s="21">
        <f t="shared" si="3"/>
        <v>38000</v>
      </c>
      <c r="G7" s="21">
        <f t="shared" si="3"/>
        <v>47500</v>
      </c>
    </row>
    <row r="8" spans="2:7" x14ac:dyDescent="0.3">
      <c r="B8" s="11" t="s">
        <v>6</v>
      </c>
    </row>
    <row r="9" spans="2:7" x14ac:dyDescent="0.3">
      <c r="B9" s="14" t="s">
        <v>7</v>
      </c>
      <c r="C9" s="20">
        <f>C$5*-C37</f>
        <v>-7500</v>
      </c>
      <c r="D9" s="20">
        <f t="shared" ref="D9:G9" si="4">D$5*-D37</f>
        <v>-8250</v>
      </c>
      <c r="E9" s="20">
        <f t="shared" si="4"/>
        <v>-9750</v>
      </c>
      <c r="F9" s="20">
        <f t="shared" si="4"/>
        <v>-12000</v>
      </c>
      <c r="G9" s="20">
        <f t="shared" si="4"/>
        <v>-15000</v>
      </c>
    </row>
    <row r="10" spans="2:7" x14ac:dyDescent="0.3">
      <c r="B10" s="14" t="s">
        <v>8</v>
      </c>
      <c r="C10" s="20">
        <f>C$5*-C38</f>
        <v>-1750.0000000000002</v>
      </c>
      <c r="D10" s="20">
        <f t="shared" ref="D10:G10" si="5">D$5*-D38</f>
        <v>-1925.0000000000002</v>
      </c>
      <c r="E10" s="20">
        <f t="shared" si="5"/>
        <v>-2275</v>
      </c>
      <c r="F10" s="20">
        <f t="shared" si="5"/>
        <v>-2800.0000000000005</v>
      </c>
      <c r="G10" s="20">
        <f t="shared" si="5"/>
        <v>-3500.0000000000005</v>
      </c>
    </row>
    <row r="11" spans="2:7" x14ac:dyDescent="0.3">
      <c r="B11" s="14" t="s">
        <v>9</v>
      </c>
      <c r="C11" s="20">
        <f>C$5*-C39</f>
        <v>-500</v>
      </c>
      <c r="D11" s="20">
        <f t="shared" ref="D11:G11" si="6">D$5*-D39</f>
        <v>-550</v>
      </c>
      <c r="E11" s="20">
        <f t="shared" si="6"/>
        <v>-650</v>
      </c>
      <c r="F11" s="20">
        <f t="shared" si="6"/>
        <v>-800</v>
      </c>
      <c r="G11" s="20">
        <f t="shared" si="6"/>
        <v>-1000</v>
      </c>
    </row>
    <row r="12" spans="2:7" x14ac:dyDescent="0.3">
      <c r="B12" s="23" t="s">
        <v>10</v>
      </c>
      <c r="C12" s="24">
        <f>SUM(C9:C11)</f>
        <v>-9750</v>
      </c>
      <c r="D12" s="24">
        <f t="shared" ref="D12:G12" si="7">SUM(D9:D11)</f>
        <v>-10725</v>
      </c>
      <c r="E12" s="24">
        <f t="shared" si="7"/>
        <v>-12675</v>
      </c>
      <c r="F12" s="24">
        <f t="shared" si="7"/>
        <v>-15600</v>
      </c>
      <c r="G12" s="24">
        <f t="shared" si="7"/>
        <v>-19500</v>
      </c>
    </row>
    <row r="13" spans="2:7" x14ac:dyDescent="0.3">
      <c r="B13" s="16" t="s">
        <v>3</v>
      </c>
      <c r="C13" s="22">
        <f>C7+C12</f>
        <v>14000</v>
      </c>
      <c r="D13" s="22">
        <f t="shared" ref="D13:G13" si="8">D7+D12</f>
        <v>15400</v>
      </c>
      <c r="E13" s="22">
        <f t="shared" si="8"/>
        <v>18200</v>
      </c>
      <c r="F13" s="22">
        <f t="shared" si="8"/>
        <v>22400</v>
      </c>
      <c r="G13" s="22">
        <f t="shared" si="8"/>
        <v>28000</v>
      </c>
    </row>
    <row r="14" spans="2:7" x14ac:dyDescent="0.3">
      <c r="B14" s="11" t="s">
        <v>12</v>
      </c>
      <c r="C14" s="25">
        <f>C13/C7</f>
        <v>0.58947368421052626</v>
      </c>
      <c r="D14" s="25">
        <f t="shared" ref="D14:G14" si="9">D13/D7</f>
        <v>0.58947368421052626</v>
      </c>
      <c r="E14" s="25">
        <f t="shared" si="9"/>
        <v>0.58947368421052626</v>
      </c>
      <c r="F14" s="25">
        <f t="shared" si="9"/>
        <v>0.58947368421052626</v>
      </c>
      <c r="G14" s="25">
        <f t="shared" si="9"/>
        <v>0.58947368421052626</v>
      </c>
    </row>
    <row r="15" spans="2:7" x14ac:dyDescent="0.3">
      <c r="B15" s="11" t="s">
        <v>13</v>
      </c>
    </row>
    <row r="16" spans="2:7" x14ac:dyDescent="0.3">
      <c r="B16" s="14" t="s">
        <v>14</v>
      </c>
      <c r="C16" s="20">
        <f>C$5*-C42</f>
        <v>-3750</v>
      </c>
      <c r="D16" s="20">
        <f t="shared" ref="D16:G16" si="10">D$5*-D42</f>
        <v>-4125</v>
      </c>
      <c r="E16" s="20">
        <f t="shared" si="10"/>
        <v>-4875</v>
      </c>
      <c r="F16" s="20">
        <f t="shared" si="10"/>
        <v>-6000</v>
      </c>
      <c r="G16" s="20">
        <f t="shared" si="10"/>
        <v>-7500</v>
      </c>
    </row>
    <row r="17" spans="2:7" x14ac:dyDescent="0.3">
      <c r="B17" s="14" t="s">
        <v>15</v>
      </c>
      <c r="C17" s="20">
        <f t="shared" ref="C17:G18" si="11">C$5*-C43</f>
        <v>-1250</v>
      </c>
      <c r="D17" s="20">
        <f t="shared" si="11"/>
        <v>-1375</v>
      </c>
      <c r="E17" s="20">
        <f t="shared" si="11"/>
        <v>-1625</v>
      </c>
      <c r="F17" s="20">
        <f t="shared" si="11"/>
        <v>-2000</v>
      </c>
      <c r="G17" s="20">
        <f t="shared" si="11"/>
        <v>-2500</v>
      </c>
    </row>
    <row r="18" spans="2:7" x14ac:dyDescent="0.3">
      <c r="B18" s="14" t="s">
        <v>16</v>
      </c>
      <c r="C18" s="20">
        <f t="shared" si="11"/>
        <v>-1250</v>
      </c>
      <c r="D18" s="20">
        <f t="shared" si="11"/>
        <v>-1375</v>
      </c>
      <c r="E18" s="20">
        <f t="shared" si="11"/>
        <v>-1625</v>
      </c>
      <c r="F18" s="20">
        <f t="shared" si="11"/>
        <v>-2000</v>
      </c>
      <c r="G18" s="20">
        <f t="shared" si="11"/>
        <v>-2500</v>
      </c>
    </row>
    <row r="19" spans="2:7" x14ac:dyDescent="0.3">
      <c r="B19" s="11" t="s">
        <v>17</v>
      </c>
      <c r="C19" s="20">
        <f>SUM(C16:C18)</f>
        <v>-6250</v>
      </c>
      <c r="D19" s="20">
        <f t="shared" ref="D19:G19" si="12">SUM(D16:D18)</f>
        <v>-6875</v>
      </c>
      <c r="E19" s="20">
        <f t="shared" si="12"/>
        <v>-8125</v>
      </c>
      <c r="F19" s="20">
        <f t="shared" si="12"/>
        <v>-10000</v>
      </c>
      <c r="G19" s="20">
        <f t="shared" si="12"/>
        <v>-12500</v>
      </c>
    </row>
    <row r="20" spans="2:7" x14ac:dyDescent="0.3">
      <c r="B20" s="15" t="s">
        <v>18</v>
      </c>
      <c r="C20" s="21">
        <f>C13+C19</f>
        <v>7750</v>
      </c>
      <c r="D20" s="21">
        <f t="shared" ref="D20:G20" si="13">D13+D19</f>
        <v>8525</v>
      </c>
      <c r="E20" s="21">
        <f t="shared" si="13"/>
        <v>10075</v>
      </c>
      <c r="F20" s="21">
        <f t="shared" si="13"/>
        <v>12400</v>
      </c>
      <c r="G20" s="21">
        <f t="shared" si="13"/>
        <v>15500</v>
      </c>
    </row>
    <row r="21" spans="2:7" x14ac:dyDescent="0.3">
      <c r="B21" s="11" t="s">
        <v>19</v>
      </c>
      <c r="C21" s="20">
        <f>-'Fixed Assets'!D15</f>
        <v>-4952.3809523809523</v>
      </c>
      <c r="D21" s="20">
        <f>-'Fixed Assets'!E15</f>
        <v>-4952.3809523809523</v>
      </c>
      <c r="E21" s="20">
        <f>-'Fixed Assets'!F15</f>
        <v>-4952.3809523809523</v>
      </c>
      <c r="F21" s="20">
        <f>-'Fixed Assets'!G15</f>
        <v>-4952.3809523809523</v>
      </c>
      <c r="G21" s="20">
        <f>-'Fixed Assets'!H15</f>
        <v>-2952.3809523809523</v>
      </c>
    </row>
    <row r="22" spans="2:7" x14ac:dyDescent="0.3">
      <c r="B22" s="15" t="s">
        <v>20</v>
      </c>
      <c r="C22" s="21">
        <f>SUM(C20:C21)</f>
        <v>2797.6190476190477</v>
      </c>
      <c r="D22" s="21">
        <f t="shared" ref="D22:G22" si="14">SUM(D20:D21)</f>
        <v>3572.6190476190477</v>
      </c>
      <c r="E22" s="21">
        <f t="shared" si="14"/>
        <v>5122.6190476190477</v>
      </c>
      <c r="F22" s="21">
        <f t="shared" si="14"/>
        <v>7447.6190476190477</v>
      </c>
      <c r="G22" s="21">
        <f t="shared" si="14"/>
        <v>12547.619047619048</v>
      </c>
    </row>
    <row r="23" spans="2:7" x14ac:dyDescent="0.3">
      <c r="B23" s="11" t="s">
        <v>21</v>
      </c>
      <c r="C23" s="20">
        <f>-'Balance Sheet'!D42</f>
        <v>-665.00000000000011</v>
      </c>
      <c r="D23" s="20">
        <f>-'Balance Sheet'!E42</f>
        <v>-630.00000000000011</v>
      </c>
      <c r="E23" s="20">
        <f>-'Balance Sheet'!F42</f>
        <v>-927.50000000000011</v>
      </c>
      <c r="F23" s="20">
        <f>-'Balance Sheet'!G42</f>
        <v>-875.00000000000011</v>
      </c>
      <c r="G23" s="20">
        <f>-'Balance Sheet'!H42</f>
        <v>-822.50000000000011</v>
      </c>
    </row>
    <row r="24" spans="2:7" x14ac:dyDescent="0.3">
      <c r="B24" s="15" t="s">
        <v>22</v>
      </c>
      <c r="C24" s="21">
        <f>SUM(C22:C23)</f>
        <v>2132.6190476190477</v>
      </c>
      <c r="D24" s="21">
        <f t="shared" ref="D24:G24" si="15">SUM(D22:D23)</f>
        <v>2942.6190476190477</v>
      </c>
      <c r="E24" s="21">
        <f t="shared" si="15"/>
        <v>4195.1190476190477</v>
      </c>
      <c r="F24" s="21">
        <f t="shared" si="15"/>
        <v>6572.6190476190477</v>
      </c>
      <c r="G24" s="21">
        <f t="shared" si="15"/>
        <v>11725.119047619048</v>
      </c>
    </row>
    <row r="25" spans="2:7" x14ac:dyDescent="0.3">
      <c r="B25" s="11" t="s">
        <v>23</v>
      </c>
      <c r="C25" s="20">
        <f>-C24*C46</f>
        <v>-447.85</v>
      </c>
      <c r="D25" s="20">
        <f t="shared" ref="D25:G25" si="16">-D24*D46</f>
        <v>-617.95000000000005</v>
      </c>
      <c r="E25" s="20">
        <f t="shared" si="16"/>
        <v>-880.97500000000002</v>
      </c>
      <c r="F25" s="20">
        <f t="shared" si="16"/>
        <v>-1380.25</v>
      </c>
      <c r="G25" s="20">
        <f t="shared" si="16"/>
        <v>-2462.2750000000001</v>
      </c>
    </row>
    <row r="26" spans="2:7" x14ac:dyDescent="0.3">
      <c r="B26" s="15" t="s">
        <v>24</v>
      </c>
      <c r="C26" s="21">
        <f>SUM(C24:C25)</f>
        <v>1684.7690476190478</v>
      </c>
      <c r="D26" s="21">
        <f t="shared" ref="D26:G26" si="17">SUM(D24:D25)</f>
        <v>2324.6690476190479</v>
      </c>
      <c r="E26" s="21">
        <f t="shared" si="17"/>
        <v>3314.1440476190478</v>
      </c>
      <c r="F26" s="21">
        <f t="shared" si="17"/>
        <v>5192.3690476190477</v>
      </c>
      <c r="G26" s="21">
        <f t="shared" si="17"/>
        <v>9262.8440476190481</v>
      </c>
    </row>
    <row r="28" spans="2:7" x14ac:dyDescent="0.3">
      <c r="B28" s="17" t="s">
        <v>25</v>
      </c>
      <c r="C28" s="25">
        <f>C26/C7</f>
        <v>7.0937644110275699E-2</v>
      </c>
      <c r="D28" s="25">
        <f t="shared" ref="D28:G28" si="18">D26/D7</f>
        <v>8.8982547277284135E-2</v>
      </c>
      <c r="E28" s="25">
        <f t="shared" si="18"/>
        <v>0.10734069789859264</v>
      </c>
      <c r="F28" s="25">
        <f t="shared" si="18"/>
        <v>0.13664129072681705</v>
      </c>
      <c r="G28" s="25">
        <f t="shared" si="18"/>
        <v>0.19500724310776943</v>
      </c>
    </row>
    <row r="30" spans="2:7" x14ac:dyDescent="0.3">
      <c r="B30" s="2" t="s">
        <v>26</v>
      </c>
      <c r="C30" s="18"/>
      <c r="D30" s="18"/>
      <c r="E30" s="18"/>
      <c r="F30" s="18"/>
      <c r="G30" s="18"/>
    </row>
    <row r="31" spans="2:7" x14ac:dyDescent="0.3">
      <c r="B31" s="18" t="s">
        <v>27</v>
      </c>
      <c r="C31" s="18"/>
      <c r="D31" s="18"/>
      <c r="E31" s="18"/>
      <c r="F31" s="18"/>
      <c r="G31" s="18"/>
    </row>
    <row r="32" spans="2:7" x14ac:dyDescent="0.3">
      <c r="B32" s="19" t="s">
        <v>28</v>
      </c>
      <c r="C32" s="5">
        <v>5000</v>
      </c>
      <c r="D32" s="5">
        <v>5500</v>
      </c>
      <c r="E32" s="5">
        <v>6500</v>
      </c>
      <c r="F32" s="5">
        <v>8000</v>
      </c>
      <c r="G32" s="5">
        <v>10000</v>
      </c>
    </row>
    <row r="33" spans="2:7" x14ac:dyDescent="0.3">
      <c r="B33" s="19" t="s">
        <v>29</v>
      </c>
      <c r="C33" s="6">
        <v>5</v>
      </c>
      <c r="D33" s="6">
        <v>5</v>
      </c>
      <c r="E33" s="6">
        <v>5</v>
      </c>
      <c r="F33" s="6">
        <v>5</v>
      </c>
      <c r="G33" s="6">
        <v>5</v>
      </c>
    </row>
    <row r="34" spans="2:7" x14ac:dyDescent="0.3">
      <c r="B34" s="19" t="str">
        <f>B6&amp;" as a % of Revenue "</f>
        <v xml:space="preserve">Discounts as a % of Revenue </v>
      </c>
      <c r="C34" s="7">
        <v>0.05</v>
      </c>
      <c r="D34" s="7">
        <v>0.05</v>
      </c>
      <c r="E34" s="7">
        <v>0.05</v>
      </c>
      <c r="F34" s="7">
        <v>0.05</v>
      </c>
      <c r="G34" s="7">
        <v>0.05</v>
      </c>
    </row>
    <row r="35" spans="2:7" x14ac:dyDescent="0.3">
      <c r="B35" s="18"/>
      <c r="C35" s="8"/>
      <c r="D35" s="8"/>
      <c r="E35" s="8"/>
      <c r="F35" s="8"/>
      <c r="G35" s="8"/>
    </row>
    <row r="36" spans="2:7" x14ac:dyDescent="0.3">
      <c r="B36" s="18" t="s">
        <v>30</v>
      </c>
      <c r="C36" s="8"/>
      <c r="D36" s="8"/>
      <c r="E36" s="8"/>
      <c r="F36" s="8"/>
      <c r="G36" s="8"/>
    </row>
    <row r="37" spans="2:7" x14ac:dyDescent="0.3">
      <c r="B37" s="19" t="str">
        <f>B9&amp;" as a % of Revenue "</f>
        <v xml:space="preserve">Raw Materials as a % of Revenue </v>
      </c>
      <c r="C37" s="7">
        <v>0.3</v>
      </c>
      <c r="D37" s="7">
        <v>0.3</v>
      </c>
      <c r="E37" s="7">
        <v>0.3</v>
      </c>
      <c r="F37" s="7">
        <v>0.3</v>
      </c>
      <c r="G37" s="7">
        <v>0.3</v>
      </c>
    </row>
    <row r="38" spans="2:7" x14ac:dyDescent="0.3">
      <c r="B38" s="19" t="str">
        <f t="shared" ref="B38:B39" si="19">B10&amp;" as a % of Revenue "</f>
        <v xml:space="preserve">Fulfillment as a % of Revenue </v>
      </c>
      <c r="C38" s="7">
        <v>7.0000000000000007E-2</v>
      </c>
      <c r="D38" s="7">
        <v>7.0000000000000007E-2</v>
      </c>
      <c r="E38" s="7">
        <v>7.0000000000000007E-2</v>
      </c>
      <c r="F38" s="7">
        <v>7.0000000000000007E-2</v>
      </c>
      <c r="G38" s="7">
        <v>7.0000000000000007E-2</v>
      </c>
    </row>
    <row r="39" spans="2:7" x14ac:dyDescent="0.3">
      <c r="B39" s="19" t="str">
        <f t="shared" si="19"/>
        <v xml:space="preserve">Transaction Fees as a % of Revenue </v>
      </c>
      <c r="C39" s="7">
        <v>0.02</v>
      </c>
      <c r="D39" s="7">
        <v>0.02</v>
      </c>
      <c r="E39" s="7">
        <v>0.02</v>
      </c>
      <c r="F39" s="7">
        <v>0.02</v>
      </c>
      <c r="G39" s="7">
        <v>0.02</v>
      </c>
    </row>
    <row r="40" spans="2:7" x14ac:dyDescent="0.3">
      <c r="B40" s="18"/>
      <c r="C40" s="8"/>
      <c r="D40" s="8"/>
      <c r="E40" s="8"/>
      <c r="F40" s="8"/>
      <c r="G40" s="8"/>
    </row>
    <row r="41" spans="2:7" x14ac:dyDescent="0.3">
      <c r="B41" s="18" t="s">
        <v>13</v>
      </c>
      <c r="C41" s="8"/>
      <c r="D41" s="8"/>
      <c r="E41" s="8"/>
      <c r="F41" s="8"/>
      <c r="G41" s="8"/>
    </row>
    <row r="42" spans="2:7" x14ac:dyDescent="0.3">
      <c r="B42" s="4" t="s">
        <v>32</v>
      </c>
      <c r="C42" s="7">
        <v>0.15</v>
      </c>
      <c r="D42" s="7">
        <v>0.15</v>
      </c>
      <c r="E42" s="7">
        <v>0.15</v>
      </c>
      <c r="F42" s="7">
        <v>0.15</v>
      </c>
      <c r="G42" s="7">
        <v>0.15</v>
      </c>
    </row>
    <row r="43" spans="2:7" x14ac:dyDescent="0.3">
      <c r="B43" s="4" t="s">
        <v>33</v>
      </c>
      <c r="C43" s="7">
        <v>0.05</v>
      </c>
      <c r="D43" s="7">
        <v>0.05</v>
      </c>
      <c r="E43" s="7">
        <v>0.05</v>
      </c>
      <c r="F43" s="7">
        <v>0.05</v>
      </c>
      <c r="G43" s="7">
        <v>0.05</v>
      </c>
    </row>
    <row r="44" spans="2:7" x14ac:dyDescent="0.3">
      <c r="B44" s="4" t="s">
        <v>34</v>
      </c>
      <c r="C44" s="7">
        <v>0.05</v>
      </c>
      <c r="D44" s="7">
        <v>0.05</v>
      </c>
      <c r="E44" s="7">
        <v>0.05</v>
      </c>
      <c r="F44" s="7">
        <v>0.05</v>
      </c>
      <c r="G44" s="7">
        <v>0.05</v>
      </c>
    </row>
    <row r="45" spans="2:7" x14ac:dyDescent="0.3">
      <c r="B45" s="18"/>
      <c r="C45" s="7"/>
      <c r="D45" s="7"/>
      <c r="E45" s="7"/>
      <c r="F45" s="7"/>
      <c r="G45" s="7"/>
    </row>
    <row r="46" spans="2:7" x14ac:dyDescent="0.3">
      <c r="B46" s="18" t="s">
        <v>31</v>
      </c>
      <c r="C46" s="7">
        <v>0.21</v>
      </c>
      <c r="D46" s="7">
        <v>0.21</v>
      </c>
      <c r="E46" s="7">
        <v>0.21</v>
      </c>
      <c r="F46" s="7">
        <v>0.21</v>
      </c>
      <c r="G46" s="7">
        <v>0.21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FD9D8-7167-4CE9-B2A6-1FB045545713}">
  <sheetPr>
    <tabColor theme="3" tint="0.499984740745262"/>
    <pageSetUpPr autoPageBreaks="0"/>
  </sheetPr>
  <dimension ref="B2:H1000"/>
  <sheetViews>
    <sheetView topLeftCell="A13" zoomScaleNormal="100" workbookViewId="0">
      <selection activeCell="E23" sqref="E23"/>
    </sheetView>
  </sheetViews>
  <sheetFormatPr defaultColWidth="14.44140625" defaultRowHeight="14.4" x14ac:dyDescent="0.3"/>
  <cols>
    <col min="1" max="1" width="8.88671875" customWidth="1"/>
    <col min="2" max="2" width="39.44140625" customWidth="1"/>
    <col min="3" max="3" width="10.88671875" customWidth="1"/>
    <col min="4" max="4" width="10.77734375" bestFit="1" customWidth="1"/>
    <col min="5" max="8" width="10.44140625" customWidth="1"/>
    <col min="9" max="26" width="8.88671875" customWidth="1"/>
  </cols>
  <sheetData>
    <row r="2" spans="2:8" x14ac:dyDescent="0.3">
      <c r="B2" s="26" t="s">
        <v>45</v>
      </c>
      <c r="C2" s="39" t="s">
        <v>46</v>
      </c>
      <c r="D2" s="26"/>
      <c r="E2" s="26"/>
      <c r="F2" s="26"/>
      <c r="G2" s="26"/>
      <c r="H2" s="26"/>
    </row>
    <row r="3" spans="2:8" ht="15" thickBot="1" x14ac:dyDescent="0.35">
      <c r="B3" s="27" t="s">
        <v>1</v>
      </c>
      <c r="C3" s="47">
        <v>44561</v>
      </c>
      <c r="D3" s="47">
        <f t="shared" ref="D3:H3" si="0">EDATE(C3,12)</f>
        <v>44926</v>
      </c>
      <c r="E3" s="47">
        <f t="shared" si="0"/>
        <v>45291</v>
      </c>
      <c r="F3" s="47">
        <f t="shared" si="0"/>
        <v>45657</v>
      </c>
      <c r="G3" s="47">
        <f t="shared" si="0"/>
        <v>46022</v>
      </c>
      <c r="H3" s="47">
        <f t="shared" si="0"/>
        <v>46387</v>
      </c>
    </row>
    <row r="4" spans="2:8" x14ac:dyDescent="0.3">
      <c r="B4" s="11" t="s">
        <v>47</v>
      </c>
    </row>
    <row r="5" spans="2:8" x14ac:dyDescent="0.3">
      <c r="B5" s="1" t="s">
        <v>48</v>
      </c>
      <c r="C5" s="40">
        <v>5000</v>
      </c>
      <c r="D5" s="41">
        <f>C5+'Cash Flow Statement'!C18</f>
        <v>-2871.6776836158188</v>
      </c>
      <c r="E5" s="41">
        <f>D5+'Cash Flow Statement'!D18</f>
        <v>3919.4895480225996</v>
      </c>
      <c r="F5" s="41">
        <f>E5+'Cash Flow Statement'!E18</f>
        <v>16464.249011299435</v>
      </c>
      <c r="G5" s="41">
        <f>F5+'Cash Flow Statement'!F18</f>
        <v>20901.350706214689</v>
      </c>
      <c r="H5" s="41">
        <f>G5+'Cash Flow Statement'!G18</f>
        <v>32423.04463276836</v>
      </c>
    </row>
    <row r="6" spans="2:8" x14ac:dyDescent="0.3">
      <c r="B6" s="1" t="s">
        <v>49</v>
      </c>
      <c r="C6" s="40">
        <v>150</v>
      </c>
      <c r="D6" s="41">
        <f>D34*D32</f>
        <v>237.5</v>
      </c>
      <c r="E6" s="41">
        <f t="shared" ref="E6:H6" si="1">E34*E32</f>
        <v>261.25</v>
      </c>
      <c r="F6" s="41">
        <f t="shared" si="1"/>
        <v>308.75</v>
      </c>
      <c r="G6" s="41">
        <f t="shared" si="1"/>
        <v>380</v>
      </c>
      <c r="H6" s="41">
        <f t="shared" si="1"/>
        <v>475</v>
      </c>
    </row>
    <row r="7" spans="2:8" x14ac:dyDescent="0.3">
      <c r="B7" s="15" t="s">
        <v>50</v>
      </c>
      <c r="C7" s="48">
        <f>SUM(C5:C6)</f>
        <v>5150</v>
      </c>
      <c r="D7" s="48">
        <f t="shared" ref="D7:H7" si="2">SUM(D5:D6)</f>
        <v>-2634.1776836158188</v>
      </c>
      <c r="E7" s="48">
        <f t="shared" si="2"/>
        <v>4180.7395480225996</v>
      </c>
      <c r="F7" s="48">
        <f t="shared" ref="F7:G7" si="3">SUM(F5:F6)</f>
        <v>16772.999011299435</v>
      </c>
      <c r="G7" s="48">
        <f t="shared" si="3"/>
        <v>21281.350706214689</v>
      </c>
      <c r="H7" s="48">
        <f t="shared" si="2"/>
        <v>32898.04463276836</v>
      </c>
    </row>
    <row r="8" spans="2:8" x14ac:dyDescent="0.3">
      <c r="B8" s="11" t="s">
        <v>51</v>
      </c>
    </row>
    <row r="9" spans="2:8" x14ac:dyDescent="0.3">
      <c r="B9" s="1" t="s">
        <v>35</v>
      </c>
      <c r="C9" s="40">
        <v>10000</v>
      </c>
      <c r="D9" s="41">
        <f>C9+'Fixed Assets'!D8</f>
        <v>24000</v>
      </c>
      <c r="E9" s="41">
        <f>D9+'Fixed Assets'!E8</f>
        <v>24000</v>
      </c>
      <c r="F9" s="41">
        <f>E9+'Fixed Assets'!F8</f>
        <v>24000</v>
      </c>
      <c r="G9" s="41">
        <f>F9+'Fixed Assets'!G8</f>
        <v>29000</v>
      </c>
      <c r="H9" s="41">
        <f>G9+'Fixed Assets'!H8</f>
        <v>29000</v>
      </c>
    </row>
    <row r="10" spans="2:8" x14ac:dyDescent="0.3">
      <c r="B10" s="1" t="s">
        <v>52</v>
      </c>
      <c r="C10" s="40">
        <v>-2000</v>
      </c>
      <c r="D10" s="41">
        <f>C10-'Fixed Assets'!D15</f>
        <v>-6952.3809523809523</v>
      </c>
      <c r="E10" s="41">
        <f>D10-'Fixed Assets'!E15</f>
        <v>-11904.761904761905</v>
      </c>
      <c r="F10" s="41">
        <f>E10-'Fixed Assets'!F15</f>
        <v>-16857.142857142855</v>
      </c>
      <c r="G10" s="41">
        <f>F10-'Fixed Assets'!G15</f>
        <v>-21809.523809523809</v>
      </c>
      <c r="H10" s="41">
        <f>G10-'Fixed Assets'!H15</f>
        <v>-24761.904761904763</v>
      </c>
    </row>
    <row r="11" spans="2:8" x14ac:dyDescent="0.3">
      <c r="B11" s="11" t="s">
        <v>53</v>
      </c>
      <c r="C11" s="41">
        <f>SUM(C9:C10)</f>
        <v>8000</v>
      </c>
      <c r="D11" s="41">
        <f t="shared" ref="D11:H11" si="4">SUM(D9:D10)</f>
        <v>17047.619047619046</v>
      </c>
      <c r="E11" s="41">
        <f t="shared" si="4"/>
        <v>12095.238095238095</v>
      </c>
      <c r="F11" s="41">
        <f t="shared" si="4"/>
        <v>7142.8571428571449</v>
      </c>
      <c r="G11" s="41">
        <f t="shared" si="4"/>
        <v>7190.4761904761908</v>
      </c>
      <c r="H11" s="41">
        <f t="shared" si="4"/>
        <v>4238.0952380952367</v>
      </c>
    </row>
    <row r="12" spans="2:8" x14ac:dyDescent="0.3">
      <c r="B12" s="49" t="s">
        <v>54</v>
      </c>
      <c r="C12" s="50">
        <f>C11</f>
        <v>8000</v>
      </c>
      <c r="D12" s="50">
        <f t="shared" ref="D12:H12" si="5">D11</f>
        <v>17047.619047619046</v>
      </c>
      <c r="E12" s="50">
        <f t="shared" si="5"/>
        <v>12095.238095238095</v>
      </c>
      <c r="F12" s="50">
        <f t="shared" si="5"/>
        <v>7142.8571428571449</v>
      </c>
      <c r="G12" s="50">
        <f t="shared" si="5"/>
        <v>7190.4761904761908</v>
      </c>
      <c r="H12" s="50">
        <f t="shared" si="5"/>
        <v>4238.0952380952367</v>
      </c>
    </row>
    <row r="13" spans="2:8" ht="15" thickBot="1" x14ac:dyDescent="0.35">
      <c r="B13" s="35" t="s">
        <v>55</v>
      </c>
      <c r="C13" s="51">
        <f>C12+C7</f>
        <v>13150</v>
      </c>
      <c r="D13" s="51">
        <f t="shared" ref="D13:H13" si="6">D12+D7</f>
        <v>14413.441364003227</v>
      </c>
      <c r="E13" s="51">
        <f t="shared" si="6"/>
        <v>16275.977643260696</v>
      </c>
      <c r="F13" s="51">
        <f t="shared" si="6"/>
        <v>23915.85615415658</v>
      </c>
      <c r="G13" s="51">
        <f t="shared" si="6"/>
        <v>28471.82689669088</v>
      </c>
      <c r="H13" s="51">
        <f t="shared" si="6"/>
        <v>37136.139870863597</v>
      </c>
    </row>
    <row r="15" spans="2:8" x14ac:dyDescent="0.3">
      <c r="B15" s="11" t="s">
        <v>56</v>
      </c>
    </row>
    <row r="16" spans="2:8" x14ac:dyDescent="0.3">
      <c r="B16" s="1" t="s">
        <v>57</v>
      </c>
      <c r="C16" s="42">
        <v>200</v>
      </c>
      <c r="D16" s="41">
        <f>D35*D33</f>
        <v>220.33898305084745</v>
      </c>
      <c r="E16" s="41">
        <f t="shared" ref="E16:H16" si="7">E35*E33</f>
        <v>242.37288135593221</v>
      </c>
      <c r="F16" s="41">
        <f t="shared" si="7"/>
        <v>286.4406779661017</v>
      </c>
      <c r="G16" s="41">
        <f t="shared" si="7"/>
        <v>352.54237288135596</v>
      </c>
      <c r="H16" s="41">
        <f t="shared" si="7"/>
        <v>440.67796610169489</v>
      </c>
    </row>
    <row r="17" spans="2:8" x14ac:dyDescent="0.3">
      <c r="B17" s="1" t="s">
        <v>58</v>
      </c>
      <c r="C17" s="42">
        <v>100</v>
      </c>
      <c r="D17" s="41">
        <f>D36*D32</f>
        <v>158.33333333333334</v>
      </c>
      <c r="E17" s="41">
        <f t="shared" ref="E17:H17" si="8">E36*E32</f>
        <v>174.16666666666669</v>
      </c>
      <c r="F17" s="41">
        <f t="shared" si="8"/>
        <v>205.83333333333334</v>
      </c>
      <c r="G17" s="41">
        <f t="shared" si="8"/>
        <v>253.33333333333334</v>
      </c>
      <c r="H17" s="41">
        <f t="shared" si="8"/>
        <v>316.66666666666669</v>
      </c>
    </row>
    <row r="18" spans="2:8" x14ac:dyDescent="0.3">
      <c r="B18" s="15" t="s">
        <v>59</v>
      </c>
      <c r="C18" s="57">
        <f>SUM(C16:C17)</f>
        <v>300</v>
      </c>
      <c r="D18" s="57">
        <f t="shared" ref="D18:H18" si="9">SUM(D16:D17)</f>
        <v>378.67231638418082</v>
      </c>
      <c r="E18" s="57">
        <f t="shared" si="9"/>
        <v>416.53954802259886</v>
      </c>
      <c r="F18" s="57">
        <f t="shared" si="9"/>
        <v>492.27401129943507</v>
      </c>
      <c r="G18" s="57">
        <f t="shared" si="9"/>
        <v>605.87570621468933</v>
      </c>
      <c r="H18" s="57">
        <f t="shared" si="9"/>
        <v>757.34463276836163</v>
      </c>
    </row>
    <row r="19" spans="2:8" x14ac:dyDescent="0.3">
      <c r="B19" s="11" t="s">
        <v>60</v>
      </c>
    </row>
    <row r="20" spans="2:8" x14ac:dyDescent="0.3">
      <c r="B20" s="1" t="s">
        <v>61</v>
      </c>
      <c r="C20" s="40">
        <v>10000</v>
      </c>
      <c r="D20" s="41">
        <f>C20+D39-D40</f>
        <v>9500</v>
      </c>
      <c r="E20" s="41">
        <f t="shared" ref="E20:H20" si="10">D20+E39-E40</f>
        <v>9000</v>
      </c>
      <c r="F20" s="41">
        <f t="shared" si="10"/>
        <v>13250</v>
      </c>
      <c r="G20" s="41">
        <f t="shared" si="10"/>
        <v>12500</v>
      </c>
      <c r="H20" s="41">
        <f t="shared" si="10"/>
        <v>11750</v>
      </c>
    </row>
    <row r="21" spans="2:8" ht="15.75" customHeight="1" x14ac:dyDescent="0.3">
      <c r="B21" s="53" t="s">
        <v>62</v>
      </c>
      <c r="C21" s="54">
        <f>C20</f>
        <v>10000</v>
      </c>
      <c r="D21" s="54">
        <f t="shared" ref="D21:H21" si="11">D20</f>
        <v>9500</v>
      </c>
      <c r="E21" s="54">
        <f t="shared" si="11"/>
        <v>9000</v>
      </c>
      <c r="F21" s="54">
        <f t="shared" si="11"/>
        <v>13250</v>
      </c>
      <c r="G21" s="54">
        <f t="shared" si="11"/>
        <v>12500</v>
      </c>
      <c r="H21" s="54">
        <f t="shared" si="11"/>
        <v>11750</v>
      </c>
    </row>
    <row r="22" spans="2:8" ht="15.75" customHeight="1" thickBot="1" x14ac:dyDescent="0.35">
      <c r="B22" s="52" t="s">
        <v>63</v>
      </c>
      <c r="C22" s="51">
        <f>C18+C21</f>
        <v>10300</v>
      </c>
      <c r="D22" s="51">
        <f t="shared" ref="D22:H22" si="12">D18+D21</f>
        <v>9878.6723163841816</v>
      </c>
      <c r="E22" s="51">
        <f t="shared" si="12"/>
        <v>9416.5395480225998</v>
      </c>
      <c r="F22" s="51">
        <f t="shared" si="12"/>
        <v>13742.274011299434</v>
      </c>
      <c r="G22" s="51">
        <f t="shared" si="12"/>
        <v>13105.875706214689</v>
      </c>
      <c r="H22" s="51">
        <f t="shared" si="12"/>
        <v>12507.344632768361</v>
      </c>
    </row>
    <row r="23" spans="2:8" ht="15.75" customHeight="1" x14ac:dyDescent="0.3">
      <c r="B23" s="11" t="s">
        <v>64</v>
      </c>
    </row>
    <row r="24" spans="2:8" ht="15.75" customHeight="1" x14ac:dyDescent="0.3">
      <c r="B24" s="1" t="s">
        <v>65</v>
      </c>
      <c r="C24" s="40">
        <v>300</v>
      </c>
      <c r="D24" s="41">
        <f>C24</f>
        <v>300</v>
      </c>
      <c r="E24" s="41">
        <f t="shared" ref="E24:H24" si="13">D24</f>
        <v>300</v>
      </c>
      <c r="F24" s="41">
        <f t="shared" si="13"/>
        <v>300</v>
      </c>
      <c r="G24" s="41">
        <f t="shared" si="13"/>
        <v>300</v>
      </c>
      <c r="H24" s="41">
        <f t="shared" si="13"/>
        <v>300</v>
      </c>
    </row>
    <row r="25" spans="2:8" ht="15.75" customHeight="1" x14ac:dyDescent="0.3">
      <c r="B25" s="1" t="s">
        <v>66</v>
      </c>
      <c r="C25" s="40">
        <v>2550</v>
      </c>
      <c r="D25" s="41">
        <f>C25+'Income Statement'!C26</f>
        <v>4234.7690476190473</v>
      </c>
      <c r="E25" s="41">
        <f>D25+'Income Statement'!D26</f>
        <v>6559.4380952380952</v>
      </c>
      <c r="F25" s="41">
        <f>E25+'Income Statement'!E26</f>
        <v>9873.5821428571435</v>
      </c>
      <c r="G25" s="41">
        <f>F25+'Income Statement'!F26</f>
        <v>15065.951190476191</v>
      </c>
      <c r="H25" s="41">
        <f>G25+'Income Statement'!G26</f>
        <v>24328.795238095241</v>
      </c>
    </row>
    <row r="26" spans="2:8" ht="15.75" customHeight="1" x14ac:dyDescent="0.3">
      <c r="B26" s="49" t="s">
        <v>67</v>
      </c>
      <c r="C26" s="50">
        <f>SUM(C24:C25)</f>
        <v>2850</v>
      </c>
      <c r="D26" s="50">
        <f t="shared" ref="D26:H26" si="14">SUM(D24:D25)</f>
        <v>4534.7690476190473</v>
      </c>
      <c r="E26" s="50">
        <f t="shared" si="14"/>
        <v>6859.4380952380952</v>
      </c>
      <c r="F26" s="50">
        <f t="shared" si="14"/>
        <v>10173.582142857143</v>
      </c>
      <c r="G26" s="50">
        <f t="shared" si="14"/>
        <v>15365.951190476191</v>
      </c>
      <c r="H26" s="50">
        <f t="shared" si="14"/>
        <v>24628.795238095241</v>
      </c>
    </row>
    <row r="27" spans="2:8" ht="15.75" customHeight="1" thickBot="1" x14ac:dyDescent="0.35">
      <c r="B27" s="35" t="s">
        <v>68</v>
      </c>
      <c r="C27" s="51">
        <f>C22+C26</f>
        <v>13150</v>
      </c>
      <c r="D27" s="51">
        <f t="shared" ref="D27:H27" si="15">D22+D26</f>
        <v>14413.441364003229</v>
      </c>
      <c r="E27" s="51">
        <f t="shared" si="15"/>
        <v>16275.977643260696</v>
      </c>
      <c r="F27" s="51">
        <f t="shared" si="15"/>
        <v>23915.85615415658</v>
      </c>
      <c r="G27" s="51">
        <f t="shared" si="15"/>
        <v>28471.82689669088</v>
      </c>
      <c r="H27" s="51">
        <f t="shared" si="15"/>
        <v>37136.139870863604</v>
      </c>
    </row>
    <row r="28" spans="2:8" ht="15.75" customHeight="1" x14ac:dyDescent="0.3"/>
    <row r="29" spans="2:8" ht="15.75" customHeight="1" x14ac:dyDescent="0.3">
      <c r="B29" s="11" t="s">
        <v>69</v>
      </c>
      <c r="C29" s="41">
        <f t="shared" ref="C29:H29" si="16">C13-C27</f>
        <v>0</v>
      </c>
      <c r="D29" s="41">
        <f t="shared" si="16"/>
        <v>0</v>
      </c>
      <c r="E29" s="41">
        <f t="shared" si="16"/>
        <v>0</v>
      </c>
      <c r="F29" s="41">
        <f t="shared" si="16"/>
        <v>0</v>
      </c>
      <c r="G29" s="41">
        <f t="shared" si="16"/>
        <v>0</v>
      </c>
      <c r="H29" s="41">
        <f t="shared" si="16"/>
        <v>0</v>
      </c>
    </row>
    <row r="30" spans="2:8" ht="15.75" customHeight="1" x14ac:dyDescent="0.3"/>
    <row r="31" spans="2:8" ht="15.75" customHeight="1" x14ac:dyDescent="0.3">
      <c r="B31" s="2" t="s">
        <v>26</v>
      </c>
      <c r="C31" s="3"/>
      <c r="D31" s="3"/>
      <c r="E31" s="3"/>
      <c r="F31" s="3"/>
      <c r="G31" s="3"/>
      <c r="H31" s="3"/>
    </row>
    <row r="32" spans="2:8" ht="15.75" customHeight="1" x14ac:dyDescent="0.3">
      <c r="B32" s="3" t="s">
        <v>5</v>
      </c>
      <c r="C32" s="5">
        <v>15000</v>
      </c>
      <c r="D32" s="43">
        <f>'Income Statement'!C7</f>
        <v>23750</v>
      </c>
      <c r="E32" s="43">
        <f>'Income Statement'!D7</f>
        <v>26125</v>
      </c>
      <c r="F32" s="43">
        <f>'Income Statement'!E7</f>
        <v>30875</v>
      </c>
      <c r="G32" s="43">
        <f>'Income Statement'!F7</f>
        <v>38000</v>
      </c>
      <c r="H32" s="43">
        <f>'Income Statement'!G7</f>
        <v>47500</v>
      </c>
    </row>
    <row r="33" spans="2:8" ht="15.75" customHeight="1" x14ac:dyDescent="0.3">
      <c r="B33" s="3" t="s">
        <v>70</v>
      </c>
      <c r="C33" s="44">
        <v>8850</v>
      </c>
      <c r="D33" s="56">
        <f>-'Income Statement'!C12</f>
        <v>9750</v>
      </c>
      <c r="E33" s="56">
        <f>-'Income Statement'!D12</f>
        <v>10725</v>
      </c>
      <c r="F33" s="56">
        <f>-'Income Statement'!E12</f>
        <v>12675</v>
      </c>
      <c r="G33" s="56">
        <f>-'Income Statement'!F12</f>
        <v>15600</v>
      </c>
      <c r="H33" s="56">
        <f>-'Income Statement'!G12</f>
        <v>19500</v>
      </c>
    </row>
    <row r="34" spans="2:8" ht="15.75" customHeight="1" x14ac:dyDescent="0.3">
      <c r="B34" s="55" t="str">
        <f>B6&amp;" as a % of Rev"</f>
        <v>Accounts Receivable as a % of Rev</v>
      </c>
      <c r="C34" s="45">
        <f>C6/C32</f>
        <v>0.01</v>
      </c>
      <c r="D34" s="45">
        <f>C34</f>
        <v>0.01</v>
      </c>
      <c r="E34" s="45">
        <f t="shared" ref="E34:H34" si="17">D34</f>
        <v>0.01</v>
      </c>
      <c r="F34" s="45">
        <f t="shared" si="17"/>
        <v>0.01</v>
      </c>
      <c r="G34" s="45">
        <f t="shared" si="17"/>
        <v>0.01</v>
      </c>
      <c r="H34" s="45">
        <f t="shared" si="17"/>
        <v>0.01</v>
      </c>
    </row>
    <row r="35" spans="2:8" ht="15.75" customHeight="1" x14ac:dyDescent="0.3">
      <c r="B35" s="55" t="str">
        <f>B16&amp; "as a % of COGS"</f>
        <v>Accounts Payableas a % of COGS</v>
      </c>
      <c r="C35" s="45">
        <f>C16/C33</f>
        <v>2.2598870056497175E-2</v>
      </c>
      <c r="D35" s="45">
        <f t="shared" ref="D35:H36" si="18">C35</f>
        <v>2.2598870056497175E-2</v>
      </c>
      <c r="E35" s="45">
        <f t="shared" si="18"/>
        <v>2.2598870056497175E-2</v>
      </c>
      <c r="F35" s="45">
        <f t="shared" si="18"/>
        <v>2.2598870056497175E-2</v>
      </c>
      <c r="G35" s="45">
        <f t="shared" si="18"/>
        <v>2.2598870056497175E-2</v>
      </c>
      <c r="H35" s="45">
        <f t="shared" si="18"/>
        <v>2.2598870056497175E-2</v>
      </c>
    </row>
    <row r="36" spans="2:8" ht="15.75" customHeight="1" x14ac:dyDescent="0.3">
      <c r="B36" s="55" t="str">
        <f>B17&amp;" as a % of Rev"</f>
        <v>Deferred Revenue as a % of Rev</v>
      </c>
      <c r="C36" s="45">
        <f>C17/C32</f>
        <v>6.6666666666666671E-3</v>
      </c>
      <c r="D36" s="45">
        <f t="shared" si="18"/>
        <v>6.6666666666666671E-3</v>
      </c>
      <c r="E36" s="45">
        <f t="shared" si="18"/>
        <v>6.6666666666666671E-3</v>
      </c>
      <c r="F36" s="45">
        <f t="shared" si="18"/>
        <v>6.6666666666666671E-3</v>
      </c>
      <c r="G36" s="45">
        <f t="shared" si="18"/>
        <v>6.6666666666666671E-3</v>
      </c>
      <c r="H36" s="45">
        <f t="shared" si="18"/>
        <v>6.6666666666666671E-3</v>
      </c>
    </row>
    <row r="37" spans="2:8" ht="15.75" customHeight="1" x14ac:dyDescent="0.3">
      <c r="B37" s="3"/>
      <c r="C37" s="3"/>
      <c r="D37" s="3"/>
      <c r="E37" s="3"/>
      <c r="F37" s="3"/>
      <c r="G37" s="3"/>
      <c r="H37" s="3"/>
    </row>
    <row r="38" spans="2:8" ht="15.75" customHeight="1" x14ac:dyDescent="0.3">
      <c r="B38" s="3" t="s">
        <v>61</v>
      </c>
      <c r="C38" s="3"/>
      <c r="D38" s="3"/>
      <c r="E38" s="3"/>
      <c r="F38" s="3"/>
      <c r="G38" s="3"/>
      <c r="H38" s="3"/>
    </row>
    <row r="39" spans="2:8" ht="15.75" customHeight="1" x14ac:dyDescent="0.3">
      <c r="B39" s="4" t="s">
        <v>71</v>
      </c>
      <c r="C39" s="3"/>
      <c r="D39" s="46"/>
      <c r="E39" s="46"/>
      <c r="F39" s="5">
        <v>5000</v>
      </c>
      <c r="G39" s="46"/>
      <c r="H39" s="46"/>
    </row>
    <row r="40" spans="2:8" ht="15.75" customHeight="1" x14ac:dyDescent="0.3">
      <c r="B40" s="55" t="s">
        <v>72</v>
      </c>
      <c r="C40" s="3"/>
      <c r="D40" s="5">
        <v>500</v>
      </c>
      <c r="E40" s="5">
        <v>500</v>
      </c>
      <c r="F40" s="5">
        <v>750</v>
      </c>
      <c r="G40" s="5">
        <v>750</v>
      </c>
      <c r="H40" s="5">
        <v>750</v>
      </c>
    </row>
    <row r="41" spans="2:8" ht="15.75" customHeight="1" x14ac:dyDescent="0.3">
      <c r="B41" s="55" t="s">
        <v>73</v>
      </c>
      <c r="C41" s="3"/>
      <c r="D41" s="7">
        <v>7.0000000000000007E-2</v>
      </c>
      <c r="E41" s="7">
        <v>7.0000000000000007E-2</v>
      </c>
      <c r="F41" s="7">
        <v>7.0000000000000007E-2</v>
      </c>
      <c r="G41" s="7">
        <v>7.0000000000000007E-2</v>
      </c>
      <c r="H41" s="7">
        <v>7.0000000000000007E-2</v>
      </c>
    </row>
    <row r="42" spans="2:8" ht="15.75" customHeight="1" x14ac:dyDescent="0.3">
      <c r="B42" s="55" t="s">
        <v>74</v>
      </c>
      <c r="C42" s="3"/>
      <c r="D42" s="43">
        <f>D41*D20</f>
        <v>665.00000000000011</v>
      </c>
      <c r="E42" s="43">
        <f t="shared" ref="E42:H42" si="19">E41*E20</f>
        <v>630.00000000000011</v>
      </c>
      <c r="F42" s="43">
        <f t="shared" si="19"/>
        <v>927.50000000000011</v>
      </c>
      <c r="G42" s="43">
        <f t="shared" si="19"/>
        <v>875.00000000000011</v>
      </c>
      <c r="H42" s="43">
        <f t="shared" si="19"/>
        <v>822.50000000000011</v>
      </c>
    </row>
    <row r="43" spans="2:8" ht="15.75" customHeight="1" x14ac:dyDescent="0.3"/>
    <row r="44" spans="2:8" ht="15.75" customHeight="1" x14ac:dyDescent="0.3"/>
    <row r="45" spans="2:8" ht="15.75" customHeight="1" x14ac:dyDescent="0.3"/>
    <row r="46" spans="2:8" ht="15.75" customHeight="1" x14ac:dyDescent="0.3"/>
    <row r="47" spans="2:8" ht="15.75" customHeight="1" x14ac:dyDescent="0.3"/>
    <row r="48" spans="2:8" ht="15.75" customHeight="1" x14ac:dyDescent="0.3"/>
    <row r="49" customFormat="1" ht="15.75" customHeight="1" x14ac:dyDescent="0.3"/>
    <row r="50" customFormat="1" ht="15.75" customHeight="1" x14ac:dyDescent="0.3"/>
    <row r="51" customFormat="1" ht="15.75" customHeight="1" x14ac:dyDescent="0.3"/>
    <row r="52" customFormat="1" ht="15.75" customHeight="1" x14ac:dyDescent="0.3"/>
    <row r="53" customFormat="1" ht="15.75" customHeight="1" x14ac:dyDescent="0.3"/>
    <row r="54" customFormat="1" ht="15.75" customHeight="1" x14ac:dyDescent="0.3"/>
    <row r="55" customFormat="1" ht="15.75" customHeight="1" x14ac:dyDescent="0.3"/>
    <row r="56" customFormat="1" ht="15.75" customHeight="1" x14ac:dyDescent="0.3"/>
    <row r="57" customFormat="1" ht="15.75" customHeight="1" x14ac:dyDescent="0.3"/>
    <row r="58" customFormat="1" ht="15.75" customHeight="1" x14ac:dyDescent="0.3"/>
    <row r="59" customFormat="1" ht="15.75" customHeight="1" x14ac:dyDescent="0.3"/>
    <row r="60" customFormat="1" ht="15.75" customHeight="1" x14ac:dyDescent="0.3"/>
    <row r="61" customFormat="1" ht="15.75" customHeight="1" x14ac:dyDescent="0.3"/>
    <row r="62" customFormat="1" ht="15.75" customHeight="1" x14ac:dyDescent="0.3"/>
    <row r="63" customFormat="1" ht="15.75" customHeight="1" x14ac:dyDescent="0.3"/>
    <row r="64" customFormat="1" ht="15.75" customHeight="1" x14ac:dyDescent="0.3"/>
    <row r="65" customFormat="1" ht="15.75" customHeight="1" x14ac:dyDescent="0.3"/>
    <row r="66" customFormat="1" ht="15.75" customHeight="1" x14ac:dyDescent="0.3"/>
    <row r="67" customFormat="1" ht="15.75" customHeight="1" x14ac:dyDescent="0.3"/>
    <row r="68" customFormat="1" ht="15.75" customHeight="1" x14ac:dyDescent="0.3"/>
    <row r="69" customFormat="1" ht="15.75" customHeight="1" x14ac:dyDescent="0.3"/>
    <row r="70" customFormat="1" ht="15.75" customHeight="1" x14ac:dyDescent="0.3"/>
    <row r="71" customFormat="1" ht="15.75" customHeight="1" x14ac:dyDescent="0.3"/>
    <row r="72" customFormat="1" ht="15.75" customHeight="1" x14ac:dyDescent="0.3"/>
    <row r="73" customFormat="1" ht="15.75" customHeight="1" x14ac:dyDescent="0.3"/>
    <row r="74" customFormat="1" ht="15.75" customHeight="1" x14ac:dyDescent="0.3"/>
    <row r="75" customFormat="1" ht="15.75" customHeight="1" x14ac:dyDescent="0.3"/>
    <row r="76" customFormat="1" ht="15.75" customHeight="1" x14ac:dyDescent="0.3"/>
    <row r="77" customFormat="1" ht="15.75" customHeight="1" x14ac:dyDescent="0.3"/>
    <row r="78" customFormat="1" ht="15.75" customHeight="1" x14ac:dyDescent="0.3"/>
    <row r="79" customFormat="1" ht="15.75" customHeight="1" x14ac:dyDescent="0.3"/>
    <row r="80" customFormat="1" ht="15.75" customHeight="1" x14ac:dyDescent="0.3"/>
    <row r="81" customFormat="1" ht="15.75" customHeight="1" x14ac:dyDescent="0.3"/>
    <row r="82" customFormat="1" ht="15.75" customHeight="1" x14ac:dyDescent="0.3"/>
    <row r="83" customFormat="1" ht="15.75" customHeight="1" x14ac:dyDescent="0.3"/>
    <row r="84" customFormat="1" ht="15.75" customHeight="1" x14ac:dyDescent="0.3"/>
    <row r="85" customFormat="1" ht="15.75" customHeight="1" x14ac:dyDescent="0.3"/>
    <row r="86" customFormat="1" ht="15.75" customHeight="1" x14ac:dyDescent="0.3"/>
    <row r="87" customFormat="1" ht="15.75" customHeight="1" x14ac:dyDescent="0.3"/>
    <row r="88" customFormat="1" ht="15.75" customHeight="1" x14ac:dyDescent="0.3"/>
    <row r="89" customFormat="1" ht="15.75" customHeight="1" x14ac:dyDescent="0.3"/>
    <row r="90" customFormat="1" ht="15.75" customHeight="1" x14ac:dyDescent="0.3"/>
    <row r="91" customFormat="1" ht="15.75" customHeight="1" x14ac:dyDescent="0.3"/>
    <row r="92" customFormat="1" ht="15.75" customHeight="1" x14ac:dyDescent="0.3"/>
    <row r="93" customFormat="1" ht="15.75" customHeight="1" x14ac:dyDescent="0.3"/>
    <row r="94" customFormat="1" ht="15.75" customHeight="1" x14ac:dyDescent="0.3"/>
    <row r="95" customFormat="1" ht="15.75" customHeight="1" x14ac:dyDescent="0.3"/>
    <row r="96" customFormat="1" ht="15.75" customHeight="1" x14ac:dyDescent="0.3"/>
    <row r="97" customFormat="1" ht="15.75" customHeight="1" x14ac:dyDescent="0.3"/>
    <row r="98" customFormat="1" ht="15.75" customHeight="1" x14ac:dyDescent="0.3"/>
    <row r="99" customFormat="1" ht="15.75" customHeight="1" x14ac:dyDescent="0.3"/>
    <row r="100" customFormat="1" ht="15.75" customHeight="1" x14ac:dyDescent="0.3"/>
    <row r="101" customFormat="1" ht="15.75" customHeight="1" x14ac:dyDescent="0.3"/>
    <row r="102" customFormat="1" ht="15.75" customHeight="1" x14ac:dyDescent="0.3"/>
    <row r="103" customFormat="1" ht="15.75" customHeight="1" x14ac:dyDescent="0.3"/>
    <row r="104" customFormat="1" ht="15.75" customHeight="1" x14ac:dyDescent="0.3"/>
    <row r="105" customFormat="1" ht="15.75" customHeight="1" x14ac:dyDescent="0.3"/>
    <row r="106" customFormat="1" ht="15.75" customHeight="1" x14ac:dyDescent="0.3"/>
    <row r="107" customFormat="1" ht="15.75" customHeight="1" x14ac:dyDescent="0.3"/>
    <row r="108" customFormat="1" ht="15.75" customHeight="1" x14ac:dyDescent="0.3"/>
    <row r="109" customFormat="1" ht="15.75" customHeight="1" x14ac:dyDescent="0.3"/>
    <row r="110" customFormat="1" ht="15.75" customHeight="1" x14ac:dyDescent="0.3"/>
    <row r="111" customFormat="1" ht="15.75" customHeight="1" x14ac:dyDescent="0.3"/>
    <row r="112" customFormat="1" ht="15.75" customHeight="1" x14ac:dyDescent="0.3"/>
    <row r="113" customFormat="1" ht="15.75" customHeight="1" x14ac:dyDescent="0.3"/>
    <row r="114" customFormat="1" ht="15.75" customHeight="1" x14ac:dyDescent="0.3"/>
    <row r="115" customFormat="1" ht="15.75" customHeight="1" x14ac:dyDescent="0.3"/>
    <row r="116" customFormat="1" ht="15.75" customHeight="1" x14ac:dyDescent="0.3"/>
    <row r="117" customFormat="1" ht="15.75" customHeight="1" x14ac:dyDescent="0.3"/>
    <row r="118" customFormat="1" ht="15.75" customHeight="1" x14ac:dyDescent="0.3"/>
    <row r="119" customFormat="1" ht="15.75" customHeight="1" x14ac:dyDescent="0.3"/>
    <row r="120" customFormat="1" ht="15.75" customHeight="1" x14ac:dyDescent="0.3"/>
    <row r="121" customFormat="1" ht="15.75" customHeight="1" x14ac:dyDescent="0.3"/>
    <row r="122" customFormat="1" ht="15.75" customHeight="1" x14ac:dyDescent="0.3"/>
    <row r="123" customFormat="1" ht="15.75" customHeight="1" x14ac:dyDescent="0.3"/>
    <row r="124" customFormat="1" ht="15.75" customHeight="1" x14ac:dyDescent="0.3"/>
    <row r="125" customFormat="1" ht="15.75" customHeight="1" x14ac:dyDescent="0.3"/>
    <row r="126" customFormat="1" ht="15.75" customHeight="1" x14ac:dyDescent="0.3"/>
    <row r="127" customFormat="1" ht="15.75" customHeight="1" x14ac:dyDescent="0.3"/>
    <row r="128" customFormat="1" ht="15.75" customHeight="1" x14ac:dyDescent="0.3"/>
    <row r="129" customFormat="1" ht="15.75" customHeight="1" x14ac:dyDescent="0.3"/>
    <row r="130" customFormat="1" ht="15.75" customHeight="1" x14ac:dyDescent="0.3"/>
    <row r="131" customFormat="1" ht="15.75" customHeight="1" x14ac:dyDescent="0.3"/>
    <row r="132" customFormat="1" ht="15.75" customHeight="1" x14ac:dyDescent="0.3"/>
    <row r="133" customFormat="1" ht="15.75" customHeight="1" x14ac:dyDescent="0.3"/>
    <row r="134" customFormat="1" ht="15.75" customHeight="1" x14ac:dyDescent="0.3"/>
    <row r="135" customFormat="1" ht="15.75" customHeight="1" x14ac:dyDescent="0.3"/>
    <row r="136" customFormat="1" ht="15.75" customHeight="1" x14ac:dyDescent="0.3"/>
    <row r="137" customFormat="1" ht="15.75" customHeight="1" x14ac:dyDescent="0.3"/>
    <row r="138" customFormat="1" ht="15.75" customHeight="1" x14ac:dyDescent="0.3"/>
    <row r="139" customFormat="1" ht="15.75" customHeight="1" x14ac:dyDescent="0.3"/>
    <row r="140" customFormat="1" ht="15.75" customHeight="1" x14ac:dyDescent="0.3"/>
    <row r="141" customFormat="1" ht="15.75" customHeight="1" x14ac:dyDescent="0.3"/>
    <row r="142" customFormat="1" ht="15.75" customHeight="1" x14ac:dyDescent="0.3"/>
    <row r="143" customFormat="1" ht="15.75" customHeight="1" x14ac:dyDescent="0.3"/>
    <row r="144" customFormat="1" ht="15.75" customHeight="1" x14ac:dyDescent="0.3"/>
    <row r="145" customFormat="1" ht="15.75" customHeight="1" x14ac:dyDescent="0.3"/>
    <row r="146" customFormat="1" ht="15.75" customHeight="1" x14ac:dyDescent="0.3"/>
    <row r="147" customFormat="1" ht="15.75" customHeight="1" x14ac:dyDescent="0.3"/>
    <row r="148" customFormat="1" ht="15.75" customHeight="1" x14ac:dyDescent="0.3"/>
    <row r="149" customFormat="1" ht="15.75" customHeight="1" x14ac:dyDescent="0.3"/>
    <row r="150" customFormat="1" ht="15.75" customHeight="1" x14ac:dyDescent="0.3"/>
    <row r="151" customFormat="1" ht="15.75" customHeight="1" x14ac:dyDescent="0.3"/>
    <row r="152" customFormat="1" ht="15.75" customHeight="1" x14ac:dyDescent="0.3"/>
    <row r="153" customFormat="1" ht="15.75" customHeight="1" x14ac:dyDescent="0.3"/>
    <row r="154" customFormat="1" ht="15.75" customHeight="1" x14ac:dyDescent="0.3"/>
    <row r="155" customFormat="1" ht="15.75" customHeight="1" x14ac:dyDescent="0.3"/>
    <row r="156" customFormat="1" ht="15.75" customHeight="1" x14ac:dyDescent="0.3"/>
    <row r="157" customFormat="1" ht="15.75" customHeight="1" x14ac:dyDescent="0.3"/>
    <row r="158" customFormat="1" ht="15.75" customHeight="1" x14ac:dyDescent="0.3"/>
    <row r="159" customFormat="1" ht="15.75" customHeight="1" x14ac:dyDescent="0.3"/>
    <row r="160" customFormat="1" ht="15.75" customHeight="1" x14ac:dyDescent="0.3"/>
    <row r="161" customFormat="1" ht="15.75" customHeight="1" x14ac:dyDescent="0.3"/>
    <row r="162" customFormat="1" ht="15.75" customHeight="1" x14ac:dyDescent="0.3"/>
    <row r="163" customFormat="1" ht="15.75" customHeight="1" x14ac:dyDescent="0.3"/>
    <row r="164" customFormat="1" ht="15.75" customHeight="1" x14ac:dyDescent="0.3"/>
    <row r="165" customFormat="1" ht="15.75" customHeight="1" x14ac:dyDescent="0.3"/>
    <row r="166" customFormat="1" ht="15.75" customHeight="1" x14ac:dyDescent="0.3"/>
    <row r="167" customFormat="1" ht="15.75" customHeight="1" x14ac:dyDescent="0.3"/>
    <row r="168" customFormat="1" ht="15.75" customHeight="1" x14ac:dyDescent="0.3"/>
    <row r="169" customFormat="1" ht="15.75" customHeight="1" x14ac:dyDescent="0.3"/>
    <row r="170" customFormat="1" ht="15.75" customHeight="1" x14ac:dyDescent="0.3"/>
    <row r="171" customFormat="1" ht="15.75" customHeight="1" x14ac:dyDescent="0.3"/>
    <row r="172" customFormat="1" ht="15.75" customHeight="1" x14ac:dyDescent="0.3"/>
    <row r="173" customFormat="1" ht="15.75" customHeight="1" x14ac:dyDescent="0.3"/>
    <row r="174" customFormat="1" ht="15.75" customHeight="1" x14ac:dyDescent="0.3"/>
    <row r="175" customFormat="1" ht="15.75" customHeight="1" x14ac:dyDescent="0.3"/>
    <row r="176" customFormat="1" ht="15.75" customHeight="1" x14ac:dyDescent="0.3"/>
    <row r="177" customFormat="1" ht="15.75" customHeight="1" x14ac:dyDescent="0.3"/>
    <row r="178" customFormat="1" ht="15.75" customHeight="1" x14ac:dyDescent="0.3"/>
    <row r="179" customFormat="1" ht="15.75" customHeight="1" x14ac:dyDescent="0.3"/>
    <row r="180" customFormat="1" ht="15.75" customHeight="1" x14ac:dyDescent="0.3"/>
    <row r="181" customFormat="1" ht="15.75" customHeight="1" x14ac:dyDescent="0.3"/>
    <row r="182" customFormat="1" ht="15.75" customHeight="1" x14ac:dyDescent="0.3"/>
    <row r="183" customFormat="1" ht="15.75" customHeight="1" x14ac:dyDescent="0.3"/>
    <row r="184" customFormat="1" ht="15.75" customHeight="1" x14ac:dyDescent="0.3"/>
    <row r="185" customFormat="1" ht="15.75" customHeight="1" x14ac:dyDescent="0.3"/>
    <row r="186" customFormat="1" ht="15.75" customHeight="1" x14ac:dyDescent="0.3"/>
    <row r="187" customFormat="1" ht="15.75" customHeight="1" x14ac:dyDescent="0.3"/>
    <row r="188" customFormat="1" ht="15.75" customHeight="1" x14ac:dyDescent="0.3"/>
    <row r="189" customFormat="1" ht="15.75" customHeight="1" x14ac:dyDescent="0.3"/>
    <row r="190" customFormat="1" ht="15.75" customHeight="1" x14ac:dyDescent="0.3"/>
    <row r="191" customFormat="1" ht="15.75" customHeight="1" x14ac:dyDescent="0.3"/>
    <row r="192" customFormat="1" ht="15.75" customHeight="1" x14ac:dyDescent="0.3"/>
    <row r="193" customFormat="1" ht="15.75" customHeight="1" x14ac:dyDescent="0.3"/>
    <row r="194" customFormat="1" ht="15.75" customHeight="1" x14ac:dyDescent="0.3"/>
    <row r="195" customFormat="1" ht="15.75" customHeight="1" x14ac:dyDescent="0.3"/>
    <row r="196" customFormat="1" ht="15.75" customHeight="1" x14ac:dyDescent="0.3"/>
    <row r="197" customFormat="1" ht="15.75" customHeight="1" x14ac:dyDescent="0.3"/>
    <row r="198" customFormat="1" ht="15.75" customHeight="1" x14ac:dyDescent="0.3"/>
    <row r="199" customFormat="1" ht="15.75" customHeight="1" x14ac:dyDescent="0.3"/>
    <row r="200" customFormat="1" ht="15.75" customHeight="1" x14ac:dyDescent="0.3"/>
    <row r="201" customFormat="1" ht="15.75" customHeight="1" x14ac:dyDescent="0.3"/>
    <row r="202" customFormat="1" ht="15.75" customHeight="1" x14ac:dyDescent="0.3"/>
    <row r="203" customFormat="1" ht="15.75" customHeight="1" x14ac:dyDescent="0.3"/>
    <row r="204" customFormat="1" ht="15.75" customHeight="1" x14ac:dyDescent="0.3"/>
    <row r="205" customFormat="1" ht="15.75" customHeight="1" x14ac:dyDescent="0.3"/>
    <row r="206" customFormat="1" ht="15.75" customHeight="1" x14ac:dyDescent="0.3"/>
    <row r="207" customFormat="1" ht="15.75" customHeight="1" x14ac:dyDescent="0.3"/>
    <row r="208" customFormat="1" ht="15.75" customHeight="1" x14ac:dyDescent="0.3"/>
    <row r="209" customFormat="1" ht="15.75" customHeight="1" x14ac:dyDescent="0.3"/>
    <row r="210" customFormat="1" ht="15.75" customHeight="1" x14ac:dyDescent="0.3"/>
    <row r="211" customFormat="1" ht="15.75" customHeight="1" x14ac:dyDescent="0.3"/>
    <row r="212" customFormat="1" ht="15.75" customHeight="1" x14ac:dyDescent="0.3"/>
    <row r="213" customFormat="1" ht="15.75" customHeight="1" x14ac:dyDescent="0.3"/>
    <row r="214" customFormat="1" ht="15.75" customHeight="1" x14ac:dyDescent="0.3"/>
    <row r="215" customFormat="1" ht="15.75" customHeight="1" x14ac:dyDescent="0.3"/>
    <row r="216" customFormat="1" ht="15.75" customHeight="1" x14ac:dyDescent="0.3"/>
    <row r="217" customFormat="1" ht="15.75" customHeight="1" x14ac:dyDescent="0.3"/>
    <row r="218" customFormat="1" ht="15.75" customHeight="1" x14ac:dyDescent="0.3"/>
    <row r="219" customFormat="1" ht="15.75" customHeight="1" x14ac:dyDescent="0.3"/>
    <row r="220" customFormat="1" ht="15.75" customHeight="1" x14ac:dyDescent="0.3"/>
    <row r="221" customFormat="1" ht="15.75" customHeight="1" x14ac:dyDescent="0.3"/>
    <row r="222" customFormat="1" ht="15.75" customHeight="1" x14ac:dyDescent="0.3"/>
    <row r="223" customFormat="1" ht="15.75" customHeight="1" x14ac:dyDescent="0.3"/>
    <row r="224" customFormat="1" ht="15.75" customHeight="1" x14ac:dyDescent="0.3"/>
    <row r="225" customFormat="1" ht="15.75" customHeight="1" x14ac:dyDescent="0.3"/>
    <row r="226" customFormat="1" ht="15.75" customHeight="1" x14ac:dyDescent="0.3"/>
    <row r="227" customFormat="1" ht="15.75" customHeight="1" x14ac:dyDescent="0.3"/>
    <row r="228" customFormat="1" ht="15.75" customHeight="1" x14ac:dyDescent="0.3"/>
    <row r="229" customFormat="1" ht="15.75" customHeight="1" x14ac:dyDescent="0.3"/>
    <row r="230" customFormat="1" ht="15.75" customHeight="1" x14ac:dyDescent="0.3"/>
    <row r="231" customFormat="1" ht="15.75" customHeight="1" x14ac:dyDescent="0.3"/>
    <row r="232" customFormat="1" ht="15.75" customHeight="1" x14ac:dyDescent="0.3"/>
    <row r="233" customFormat="1" ht="15.75" customHeight="1" x14ac:dyDescent="0.3"/>
    <row r="234" customFormat="1" ht="15.75" customHeight="1" x14ac:dyDescent="0.3"/>
    <row r="235" customFormat="1" ht="15.75" customHeight="1" x14ac:dyDescent="0.3"/>
    <row r="236" customFormat="1" ht="15.75" customHeight="1" x14ac:dyDescent="0.3"/>
    <row r="237" customFormat="1" ht="15.75" customHeight="1" x14ac:dyDescent="0.3"/>
    <row r="238" customFormat="1" ht="15.75" customHeight="1" x14ac:dyDescent="0.3"/>
    <row r="239" customFormat="1" ht="15.75" customHeight="1" x14ac:dyDescent="0.3"/>
    <row r="240" customFormat="1" ht="15.75" customHeight="1" x14ac:dyDescent="0.3"/>
    <row r="241" customFormat="1" ht="15.75" customHeight="1" x14ac:dyDescent="0.3"/>
    <row r="242" customFormat="1" ht="15.75" customHeight="1" x14ac:dyDescent="0.3"/>
    <row r="243" customFormat="1" ht="15.75" customHeight="1" x14ac:dyDescent="0.3"/>
    <row r="244" customFormat="1" ht="15.75" customHeight="1" x14ac:dyDescent="0.3"/>
    <row r="245" customFormat="1" ht="15.75" customHeight="1" x14ac:dyDescent="0.3"/>
    <row r="246" customFormat="1" ht="15.75" customHeight="1" x14ac:dyDescent="0.3"/>
    <row r="247" customFormat="1" ht="15.75" customHeight="1" x14ac:dyDescent="0.3"/>
    <row r="248" customFormat="1" ht="15.75" customHeight="1" x14ac:dyDescent="0.3"/>
    <row r="249" customFormat="1" ht="15.75" customHeight="1" x14ac:dyDescent="0.3"/>
    <row r="250" customFormat="1" ht="15.75" customHeight="1" x14ac:dyDescent="0.3"/>
    <row r="251" customFormat="1" ht="15.75" customHeight="1" x14ac:dyDescent="0.3"/>
    <row r="252" customFormat="1" ht="15.75" customHeight="1" x14ac:dyDescent="0.3"/>
    <row r="253" customFormat="1" ht="15.75" customHeight="1" x14ac:dyDescent="0.3"/>
    <row r="254" customFormat="1" ht="15.75" customHeight="1" x14ac:dyDescent="0.3"/>
    <row r="255" customFormat="1" ht="15.75" customHeight="1" x14ac:dyDescent="0.3"/>
    <row r="256" customFormat="1" ht="15.75" customHeight="1" x14ac:dyDescent="0.3"/>
    <row r="257" customFormat="1" ht="15.75" customHeight="1" x14ac:dyDescent="0.3"/>
    <row r="258" customFormat="1" ht="15.75" customHeight="1" x14ac:dyDescent="0.3"/>
    <row r="259" customFormat="1" ht="15.75" customHeight="1" x14ac:dyDescent="0.3"/>
    <row r="260" customFormat="1" ht="15.75" customHeight="1" x14ac:dyDescent="0.3"/>
    <row r="261" customFormat="1" ht="15.75" customHeight="1" x14ac:dyDescent="0.3"/>
    <row r="262" customFormat="1" ht="15.75" customHeight="1" x14ac:dyDescent="0.3"/>
    <row r="263" customFormat="1" ht="15.75" customHeight="1" x14ac:dyDescent="0.3"/>
    <row r="264" customFormat="1" ht="15.75" customHeight="1" x14ac:dyDescent="0.3"/>
    <row r="265" customFormat="1" ht="15.75" customHeight="1" x14ac:dyDescent="0.3"/>
    <row r="266" customFormat="1" ht="15.75" customHeight="1" x14ac:dyDescent="0.3"/>
    <row r="267" customFormat="1" ht="15.75" customHeight="1" x14ac:dyDescent="0.3"/>
    <row r="268" customFormat="1" ht="15.75" customHeight="1" x14ac:dyDescent="0.3"/>
    <row r="269" customFormat="1" ht="15.75" customHeight="1" x14ac:dyDescent="0.3"/>
    <row r="270" customFormat="1" ht="15.75" customHeight="1" x14ac:dyDescent="0.3"/>
    <row r="271" customFormat="1" ht="15.75" customHeight="1" x14ac:dyDescent="0.3"/>
    <row r="272" customFormat="1" ht="15.75" customHeight="1" x14ac:dyDescent="0.3"/>
    <row r="273" customFormat="1" ht="15.75" customHeight="1" x14ac:dyDescent="0.3"/>
    <row r="274" customFormat="1" ht="15.75" customHeight="1" x14ac:dyDescent="0.3"/>
    <row r="275" customFormat="1" ht="15.75" customHeight="1" x14ac:dyDescent="0.3"/>
    <row r="276" customFormat="1" ht="15.75" customHeight="1" x14ac:dyDescent="0.3"/>
    <row r="277" customFormat="1" ht="15.75" customHeight="1" x14ac:dyDescent="0.3"/>
    <row r="278" customFormat="1" ht="15.75" customHeight="1" x14ac:dyDescent="0.3"/>
    <row r="279" customFormat="1" ht="15.75" customHeight="1" x14ac:dyDescent="0.3"/>
    <row r="280" customFormat="1" ht="15.75" customHeight="1" x14ac:dyDescent="0.3"/>
    <row r="281" customFormat="1" ht="15.75" customHeight="1" x14ac:dyDescent="0.3"/>
    <row r="282" customFormat="1" ht="15.75" customHeight="1" x14ac:dyDescent="0.3"/>
    <row r="283" customFormat="1" ht="15.75" customHeight="1" x14ac:dyDescent="0.3"/>
    <row r="284" customFormat="1" ht="15.75" customHeight="1" x14ac:dyDescent="0.3"/>
    <row r="285" customFormat="1" ht="15.75" customHeight="1" x14ac:dyDescent="0.3"/>
    <row r="286" customFormat="1" ht="15.75" customHeight="1" x14ac:dyDescent="0.3"/>
    <row r="287" customFormat="1" ht="15.75" customHeight="1" x14ac:dyDescent="0.3"/>
    <row r="288" customFormat="1" ht="15.75" customHeight="1" x14ac:dyDescent="0.3"/>
    <row r="289" customFormat="1" ht="15.75" customHeight="1" x14ac:dyDescent="0.3"/>
    <row r="290" customFormat="1" ht="15.75" customHeight="1" x14ac:dyDescent="0.3"/>
    <row r="291" customFormat="1" ht="15.75" customHeight="1" x14ac:dyDescent="0.3"/>
    <row r="292" customFormat="1" ht="15.75" customHeight="1" x14ac:dyDescent="0.3"/>
    <row r="293" customFormat="1" ht="15.75" customHeight="1" x14ac:dyDescent="0.3"/>
    <row r="294" customFormat="1" ht="15.75" customHeight="1" x14ac:dyDescent="0.3"/>
    <row r="295" customFormat="1" ht="15.75" customHeight="1" x14ac:dyDescent="0.3"/>
    <row r="296" customFormat="1" ht="15.75" customHeight="1" x14ac:dyDescent="0.3"/>
    <row r="297" customFormat="1" ht="15.75" customHeight="1" x14ac:dyDescent="0.3"/>
    <row r="298" customFormat="1" ht="15.75" customHeight="1" x14ac:dyDescent="0.3"/>
    <row r="299" customFormat="1" ht="15.75" customHeight="1" x14ac:dyDescent="0.3"/>
    <row r="300" customFormat="1" ht="15.75" customHeight="1" x14ac:dyDescent="0.3"/>
    <row r="301" customFormat="1" ht="15.75" customHeight="1" x14ac:dyDescent="0.3"/>
    <row r="302" customFormat="1" ht="15.75" customHeight="1" x14ac:dyDescent="0.3"/>
    <row r="303" customFormat="1" ht="15.75" customHeight="1" x14ac:dyDescent="0.3"/>
    <row r="304" customFormat="1" ht="15.75" customHeight="1" x14ac:dyDescent="0.3"/>
    <row r="305" customFormat="1" ht="15.75" customHeight="1" x14ac:dyDescent="0.3"/>
    <row r="306" customFormat="1" ht="15.75" customHeight="1" x14ac:dyDescent="0.3"/>
    <row r="307" customFormat="1" ht="15.75" customHeight="1" x14ac:dyDescent="0.3"/>
    <row r="308" customFormat="1" ht="15.75" customHeight="1" x14ac:dyDescent="0.3"/>
    <row r="309" customFormat="1" ht="15.75" customHeight="1" x14ac:dyDescent="0.3"/>
    <row r="310" customFormat="1" ht="15.75" customHeight="1" x14ac:dyDescent="0.3"/>
    <row r="311" customFormat="1" ht="15.75" customHeight="1" x14ac:dyDescent="0.3"/>
    <row r="312" customFormat="1" ht="15.75" customHeight="1" x14ac:dyDescent="0.3"/>
    <row r="313" customFormat="1" ht="15.75" customHeight="1" x14ac:dyDescent="0.3"/>
    <row r="314" customFormat="1" ht="15.75" customHeight="1" x14ac:dyDescent="0.3"/>
    <row r="315" customFormat="1" ht="15.75" customHeight="1" x14ac:dyDescent="0.3"/>
    <row r="316" customFormat="1" ht="15.75" customHeight="1" x14ac:dyDescent="0.3"/>
    <row r="317" customFormat="1" ht="15.75" customHeight="1" x14ac:dyDescent="0.3"/>
    <row r="318" customFormat="1" ht="15.75" customHeight="1" x14ac:dyDescent="0.3"/>
    <row r="319" customFormat="1" ht="15.75" customHeight="1" x14ac:dyDescent="0.3"/>
    <row r="320" customFormat="1" ht="15.75" customHeight="1" x14ac:dyDescent="0.3"/>
    <row r="321" customFormat="1" ht="15.75" customHeight="1" x14ac:dyDescent="0.3"/>
    <row r="322" customFormat="1" ht="15.75" customHeight="1" x14ac:dyDescent="0.3"/>
    <row r="323" customFormat="1" ht="15.75" customHeight="1" x14ac:dyDescent="0.3"/>
    <row r="324" customFormat="1" ht="15.75" customHeight="1" x14ac:dyDescent="0.3"/>
    <row r="325" customFormat="1" ht="15.75" customHeight="1" x14ac:dyDescent="0.3"/>
    <row r="326" customFormat="1" ht="15.75" customHeight="1" x14ac:dyDescent="0.3"/>
    <row r="327" customFormat="1" ht="15.75" customHeight="1" x14ac:dyDescent="0.3"/>
    <row r="328" customFormat="1" ht="15.75" customHeight="1" x14ac:dyDescent="0.3"/>
    <row r="329" customFormat="1" ht="15.75" customHeight="1" x14ac:dyDescent="0.3"/>
    <row r="330" customFormat="1" ht="15.75" customHeight="1" x14ac:dyDescent="0.3"/>
    <row r="331" customFormat="1" ht="15.75" customHeight="1" x14ac:dyDescent="0.3"/>
    <row r="332" customFormat="1" ht="15.75" customHeight="1" x14ac:dyDescent="0.3"/>
    <row r="333" customFormat="1" ht="15.75" customHeight="1" x14ac:dyDescent="0.3"/>
    <row r="334" customFormat="1" ht="15.75" customHeight="1" x14ac:dyDescent="0.3"/>
    <row r="335" customFormat="1" ht="15.75" customHeight="1" x14ac:dyDescent="0.3"/>
    <row r="336" customFormat="1" ht="15.75" customHeight="1" x14ac:dyDescent="0.3"/>
    <row r="337" customFormat="1" ht="15.75" customHeight="1" x14ac:dyDescent="0.3"/>
    <row r="338" customFormat="1" ht="15.75" customHeight="1" x14ac:dyDescent="0.3"/>
    <row r="339" customFormat="1" ht="15.75" customHeight="1" x14ac:dyDescent="0.3"/>
    <row r="340" customFormat="1" ht="15.75" customHeight="1" x14ac:dyDescent="0.3"/>
    <row r="341" customFormat="1" ht="15.75" customHeight="1" x14ac:dyDescent="0.3"/>
    <row r="342" customFormat="1" ht="15.75" customHeight="1" x14ac:dyDescent="0.3"/>
    <row r="343" customFormat="1" ht="15.75" customHeight="1" x14ac:dyDescent="0.3"/>
    <row r="344" customFormat="1" ht="15.75" customHeight="1" x14ac:dyDescent="0.3"/>
    <row r="345" customFormat="1" ht="15.75" customHeight="1" x14ac:dyDescent="0.3"/>
    <row r="346" customFormat="1" ht="15.75" customHeight="1" x14ac:dyDescent="0.3"/>
    <row r="347" customFormat="1" ht="15.75" customHeight="1" x14ac:dyDescent="0.3"/>
    <row r="348" customFormat="1" ht="15.75" customHeight="1" x14ac:dyDescent="0.3"/>
    <row r="349" customFormat="1" ht="15.75" customHeight="1" x14ac:dyDescent="0.3"/>
    <row r="350" customFormat="1" ht="15.75" customHeight="1" x14ac:dyDescent="0.3"/>
    <row r="351" customFormat="1" ht="15.75" customHeight="1" x14ac:dyDescent="0.3"/>
    <row r="352" customFormat="1" ht="15.75" customHeight="1" x14ac:dyDescent="0.3"/>
    <row r="353" customFormat="1" ht="15.75" customHeight="1" x14ac:dyDescent="0.3"/>
    <row r="354" customFormat="1" ht="15.75" customHeight="1" x14ac:dyDescent="0.3"/>
    <row r="355" customFormat="1" ht="15.75" customHeight="1" x14ac:dyDescent="0.3"/>
    <row r="356" customFormat="1" ht="15.75" customHeight="1" x14ac:dyDescent="0.3"/>
    <row r="357" customFormat="1" ht="15.75" customHeight="1" x14ac:dyDescent="0.3"/>
    <row r="358" customFormat="1" ht="15.75" customHeight="1" x14ac:dyDescent="0.3"/>
    <row r="359" customFormat="1" ht="15.75" customHeight="1" x14ac:dyDescent="0.3"/>
    <row r="360" customFormat="1" ht="15.75" customHeight="1" x14ac:dyDescent="0.3"/>
    <row r="361" customFormat="1" ht="15.75" customHeight="1" x14ac:dyDescent="0.3"/>
    <row r="362" customFormat="1" ht="15.75" customHeight="1" x14ac:dyDescent="0.3"/>
    <row r="363" customFormat="1" ht="15.75" customHeight="1" x14ac:dyDescent="0.3"/>
    <row r="364" customFormat="1" ht="15.75" customHeight="1" x14ac:dyDescent="0.3"/>
    <row r="365" customFormat="1" ht="15.75" customHeight="1" x14ac:dyDescent="0.3"/>
    <row r="366" customFormat="1" ht="15.75" customHeight="1" x14ac:dyDescent="0.3"/>
    <row r="367" customFormat="1" ht="15.75" customHeight="1" x14ac:dyDescent="0.3"/>
    <row r="368" customFormat="1" ht="15.75" customHeight="1" x14ac:dyDescent="0.3"/>
    <row r="369" customFormat="1" ht="15.75" customHeight="1" x14ac:dyDescent="0.3"/>
    <row r="370" customFormat="1" ht="15.75" customHeight="1" x14ac:dyDescent="0.3"/>
    <row r="371" customFormat="1" ht="15.75" customHeight="1" x14ac:dyDescent="0.3"/>
    <row r="372" customFormat="1" ht="15.75" customHeight="1" x14ac:dyDescent="0.3"/>
    <row r="373" customFormat="1" ht="15.75" customHeight="1" x14ac:dyDescent="0.3"/>
    <row r="374" customFormat="1" ht="15.75" customHeight="1" x14ac:dyDescent="0.3"/>
    <row r="375" customFormat="1" ht="15.75" customHeight="1" x14ac:dyDescent="0.3"/>
    <row r="376" customFormat="1" ht="15.75" customHeight="1" x14ac:dyDescent="0.3"/>
    <row r="377" customFormat="1" ht="15.75" customHeight="1" x14ac:dyDescent="0.3"/>
    <row r="378" customFormat="1" ht="15.75" customHeight="1" x14ac:dyDescent="0.3"/>
    <row r="379" customFormat="1" ht="15.75" customHeight="1" x14ac:dyDescent="0.3"/>
    <row r="380" customFormat="1" ht="15.75" customHeight="1" x14ac:dyDescent="0.3"/>
    <row r="381" customFormat="1" ht="15.75" customHeight="1" x14ac:dyDescent="0.3"/>
    <row r="382" customFormat="1" ht="15.75" customHeight="1" x14ac:dyDescent="0.3"/>
    <row r="383" customFormat="1" ht="15.75" customHeight="1" x14ac:dyDescent="0.3"/>
    <row r="384" customFormat="1" ht="15.75" customHeight="1" x14ac:dyDescent="0.3"/>
    <row r="385" customFormat="1" ht="15.75" customHeight="1" x14ac:dyDescent="0.3"/>
    <row r="386" customFormat="1" ht="15.75" customHeight="1" x14ac:dyDescent="0.3"/>
    <row r="387" customFormat="1" ht="15.75" customHeight="1" x14ac:dyDescent="0.3"/>
    <row r="388" customFormat="1" ht="15.75" customHeight="1" x14ac:dyDescent="0.3"/>
    <row r="389" customFormat="1" ht="15.75" customHeight="1" x14ac:dyDescent="0.3"/>
    <row r="390" customFormat="1" ht="15.75" customHeight="1" x14ac:dyDescent="0.3"/>
    <row r="391" customFormat="1" ht="15.75" customHeight="1" x14ac:dyDescent="0.3"/>
    <row r="392" customFormat="1" ht="15.75" customHeight="1" x14ac:dyDescent="0.3"/>
    <row r="393" customFormat="1" ht="15.75" customHeight="1" x14ac:dyDescent="0.3"/>
    <row r="394" customFormat="1" ht="15.75" customHeight="1" x14ac:dyDescent="0.3"/>
    <row r="395" customFormat="1" ht="15.75" customHeight="1" x14ac:dyDescent="0.3"/>
    <row r="396" customFormat="1" ht="15.75" customHeight="1" x14ac:dyDescent="0.3"/>
    <row r="397" customFormat="1" ht="15.75" customHeight="1" x14ac:dyDescent="0.3"/>
    <row r="398" customFormat="1" ht="15.75" customHeight="1" x14ac:dyDescent="0.3"/>
    <row r="399" customFormat="1" ht="15.75" customHeight="1" x14ac:dyDescent="0.3"/>
    <row r="400" customFormat="1" ht="15.75" customHeight="1" x14ac:dyDescent="0.3"/>
    <row r="401" customFormat="1" ht="15.75" customHeight="1" x14ac:dyDescent="0.3"/>
    <row r="402" customFormat="1" ht="15.75" customHeight="1" x14ac:dyDescent="0.3"/>
    <row r="403" customFormat="1" ht="15.75" customHeight="1" x14ac:dyDescent="0.3"/>
    <row r="404" customFormat="1" ht="15.75" customHeight="1" x14ac:dyDescent="0.3"/>
    <row r="405" customFormat="1" ht="15.75" customHeight="1" x14ac:dyDescent="0.3"/>
    <row r="406" customFormat="1" ht="15.75" customHeight="1" x14ac:dyDescent="0.3"/>
    <row r="407" customFormat="1" ht="15.75" customHeight="1" x14ac:dyDescent="0.3"/>
    <row r="408" customFormat="1" ht="15.75" customHeight="1" x14ac:dyDescent="0.3"/>
    <row r="409" customFormat="1" ht="15.75" customHeight="1" x14ac:dyDescent="0.3"/>
    <row r="410" customFormat="1" ht="15.75" customHeight="1" x14ac:dyDescent="0.3"/>
    <row r="411" customFormat="1" ht="15.75" customHeight="1" x14ac:dyDescent="0.3"/>
    <row r="412" customFormat="1" ht="15.75" customHeight="1" x14ac:dyDescent="0.3"/>
    <row r="413" customFormat="1" ht="15.75" customHeight="1" x14ac:dyDescent="0.3"/>
    <row r="414" customFormat="1" ht="15.75" customHeight="1" x14ac:dyDescent="0.3"/>
    <row r="415" customFormat="1" ht="15.75" customHeight="1" x14ac:dyDescent="0.3"/>
    <row r="416" customFormat="1" ht="15.75" customHeight="1" x14ac:dyDescent="0.3"/>
    <row r="417" customFormat="1" ht="15.75" customHeight="1" x14ac:dyDescent="0.3"/>
    <row r="418" customFormat="1" ht="15.75" customHeight="1" x14ac:dyDescent="0.3"/>
    <row r="419" customFormat="1" ht="15.75" customHeight="1" x14ac:dyDescent="0.3"/>
    <row r="420" customFormat="1" ht="15.75" customHeight="1" x14ac:dyDescent="0.3"/>
    <row r="421" customFormat="1" ht="15.75" customHeight="1" x14ac:dyDescent="0.3"/>
    <row r="422" customFormat="1" ht="15.75" customHeight="1" x14ac:dyDescent="0.3"/>
    <row r="423" customFormat="1" ht="15.75" customHeight="1" x14ac:dyDescent="0.3"/>
    <row r="424" customFormat="1" ht="15.75" customHeight="1" x14ac:dyDescent="0.3"/>
    <row r="425" customFormat="1" ht="15.75" customHeight="1" x14ac:dyDescent="0.3"/>
    <row r="426" customFormat="1" ht="15.75" customHeight="1" x14ac:dyDescent="0.3"/>
    <row r="427" customFormat="1" ht="15.75" customHeight="1" x14ac:dyDescent="0.3"/>
    <row r="428" customFormat="1" ht="15.75" customHeight="1" x14ac:dyDescent="0.3"/>
    <row r="429" customFormat="1" ht="15.75" customHeight="1" x14ac:dyDescent="0.3"/>
    <row r="430" customFormat="1" ht="15.75" customHeight="1" x14ac:dyDescent="0.3"/>
    <row r="431" customFormat="1" ht="15.75" customHeight="1" x14ac:dyDescent="0.3"/>
    <row r="432" customFormat="1" ht="15.75" customHeight="1" x14ac:dyDescent="0.3"/>
    <row r="433" customFormat="1" ht="15.75" customHeight="1" x14ac:dyDescent="0.3"/>
    <row r="434" customFormat="1" ht="15.75" customHeight="1" x14ac:dyDescent="0.3"/>
    <row r="435" customFormat="1" ht="15.75" customHeight="1" x14ac:dyDescent="0.3"/>
    <row r="436" customFormat="1" ht="15.75" customHeight="1" x14ac:dyDescent="0.3"/>
    <row r="437" customFormat="1" ht="15.75" customHeight="1" x14ac:dyDescent="0.3"/>
    <row r="438" customFormat="1" ht="15.75" customHeight="1" x14ac:dyDescent="0.3"/>
    <row r="439" customFormat="1" ht="15.75" customHeight="1" x14ac:dyDescent="0.3"/>
    <row r="440" customFormat="1" ht="15.75" customHeight="1" x14ac:dyDescent="0.3"/>
    <row r="441" customFormat="1" ht="15.75" customHeight="1" x14ac:dyDescent="0.3"/>
    <row r="442" customFormat="1" ht="15.75" customHeight="1" x14ac:dyDescent="0.3"/>
    <row r="443" customFormat="1" ht="15.75" customHeight="1" x14ac:dyDescent="0.3"/>
    <row r="444" customFormat="1" ht="15.75" customHeight="1" x14ac:dyDescent="0.3"/>
    <row r="445" customFormat="1" ht="15.75" customHeight="1" x14ac:dyDescent="0.3"/>
    <row r="446" customFormat="1" ht="15.75" customHeight="1" x14ac:dyDescent="0.3"/>
    <row r="447" customFormat="1" ht="15.75" customHeight="1" x14ac:dyDescent="0.3"/>
    <row r="448" customFormat="1" ht="15.75" customHeight="1" x14ac:dyDescent="0.3"/>
    <row r="449" customFormat="1" ht="15.75" customHeight="1" x14ac:dyDescent="0.3"/>
    <row r="450" customFormat="1" ht="15.75" customHeight="1" x14ac:dyDescent="0.3"/>
    <row r="451" customFormat="1" ht="15.75" customHeight="1" x14ac:dyDescent="0.3"/>
    <row r="452" customFormat="1" ht="15.75" customHeight="1" x14ac:dyDescent="0.3"/>
    <row r="453" customFormat="1" ht="15.75" customHeight="1" x14ac:dyDescent="0.3"/>
    <row r="454" customFormat="1" ht="15.75" customHeight="1" x14ac:dyDescent="0.3"/>
    <row r="455" customFormat="1" ht="15.75" customHeight="1" x14ac:dyDescent="0.3"/>
    <row r="456" customFormat="1" ht="15.75" customHeight="1" x14ac:dyDescent="0.3"/>
    <row r="457" customFormat="1" ht="15.75" customHeight="1" x14ac:dyDescent="0.3"/>
    <row r="458" customFormat="1" ht="15.75" customHeight="1" x14ac:dyDescent="0.3"/>
    <row r="459" customFormat="1" ht="15.75" customHeight="1" x14ac:dyDescent="0.3"/>
    <row r="460" customFormat="1" ht="15.75" customHeight="1" x14ac:dyDescent="0.3"/>
    <row r="461" customFormat="1" ht="15.75" customHeight="1" x14ac:dyDescent="0.3"/>
    <row r="462" customFormat="1" ht="15.75" customHeight="1" x14ac:dyDescent="0.3"/>
    <row r="463" customFormat="1" ht="15.75" customHeight="1" x14ac:dyDescent="0.3"/>
    <row r="464" customFormat="1" ht="15.75" customHeight="1" x14ac:dyDescent="0.3"/>
    <row r="465" customFormat="1" ht="15.75" customHeight="1" x14ac:dyDescent="0.3"/>
    <row r="466" customFormat="1" ht="15.75" customHeight="1" x14ac:dyDescent="0.3"/>
    <row r="467" customFormat="1" ht="15.75" customHeight="1" x14ac:dyDescent="0.3"/>
    <row r="468" customFormat="1" ht="15.75" customHeight="1" x14ac:dyDescent="0.3"/>
    <row r="469" customFormat="1" ht="15.75" customHeight="1" x14ac:dyDescent="0.3"/>
    <row r="470" customFormat="1" ht="15.75" customHeight="1" x14ac:dyDescent="0.3"/>
    <row r="471" customFormat="1" ht="15.75" customHeight="1" x14ac:dyDescent="0.3"/>
    <row r="472" customFormat="1" ht="15.75" customHeight="1" x14ac:dyDescent="0.3"/>
    <row r="473" customFormat="1" ht="15.75" customHeight="1" x14ac:dyDescent="0.3"/>
    <row r="474" customFormat="1" ht="15.75" customHeight="1" x14ac:dyDescent="0.3"/>
    <row r="475" customFormat="1" ht="15.75" customHeight="1" x14ac:dyDescent="0.3"/>
    <row r="476" customFormat="1" ht="15.75" customHeight="1" x14ac:dyDescent="0.3"/>
    <row r="477" customFormat="1" ht="15.75" customHeight="1" x14ac:dyDescent="0.3"/>
    <row r="478" customFormat="1" ht="15.75" customHeight="1" x14ac:dyDescent="0.3"/>
    <row r="479" customFormat="1" ht="15.75" customHeight="1" x14ac:dyDescent="0.3"/>
    <row r="480" customFormat="1" ht="15.75" customHeight="1" x14ac:dyDescent="0.3"/>
    <row r="481" customFormat="1" ht="15.75" customHeight="1" x14ac:dyDescent="0.3"/>
    <row r="482" customFormat="1" ht="15.75" customHeight="1" x14ac:dyDescent="0.3"/>
    <row r="483" customFormat="1" ht="15.75" customHeight="1" x14ac:dyDescent="0.3"/>
    <row r="484" customFormat="1" ht="15.75" customHeight="1" x14ac:dyDescent="0.3"/>
    <row r="485" customFormat="1" ht="15.75" customHeight="1" x14ac:dyDescent="0.3"/>
    <row r="486" customFormat="1" ht="15.75" customHeight="1" x14ac:dyDescent="0.3"/>
    <row r="487" customFormat="1" ht="15.75" customHeight="1" x14ac:dyDescent="0.3"/>
    <row r="488" customFormat="1" ht="15.75" customHeight="1" x14ac:dyDescent="0.3"/>
    <row r="489" customFormat="1" ht="15.75" customHeight="1" x14ac:dyDescent="0.3"/>
    <row r="490" customFormat="1" ht="15.75" customHeight="1" x14ac:dyDescent="0.3"/>
    <row r="491" customFormat="1" ht="15.75" customHeight="1" x14ac:dyDescent="0.3"/>
    <row r="492" customFormat="1" ht="15.75" customHeight="1" x14ac:dyDescent="0.3"/>
    <row r="493" customFormat="1" ht="15.75" customHeight="1" x14ac:dyDescent="0.3"/>
    <row r="494" customFormat="1" ht="15.75" customHeight="1" x14ac:dyDescent="0.3"/>
    <row r="495" customFormat="1" ht="15.75" customHeight="1" x14ac:dyDescent="0.3"/>
    <row r="496" customFormat="1" ht="15.75" customHeight="1" x14ac:dyDescent="0.3"/>
    <row r="497" customFormat="1" ht="15.75" customHeight="1" x14ac:dyDescent="0.3"/>
    <row r="498" customFormat="1" ht="15.75" customHeight="1" x14ac:dyDescent="0.3"/>
    <row r="499" customFormat="1" ht="15.75" customHeight="1" x14ac:dyDescent="0.3"/>
    <row r="500" customFormat="1" ht="15.75" customHeight="1" x14ac:dyDescent="0.3"/>
    <row r="501" customFormat="1" ht="15.75" customHeight="1" x14ac:dyDescent="0.3"/>
    <row r="502" customFormat="1" ht="15.75" customHeight="1" x14ac:dyDescent="0.3"/>
    <row r="503" customFormat="1" ht="15.75" customHeight="1" x14ac:dyDescent="0.3"/>
    <row r="504" customFormat="1" ht="15.75" customHeight="1" x14ac:dyDescent="0.3"/>
    <row r="505" customFormat="1" ht="15.75" customHeight="1" x14ac:dyDescent="0.3"/>
    <row r="506" customFormat="1" ht="15.75" customHeight="1" x14ac:dyDescent="0.3"/>
    <row r="507" customFormat="1" ht="15.75" customHeight="1" x14ac:dyDescent="0.3"/>
    <row r="508" customFormat="1" ht="15.75" customHeight="1" x14ac:dyDescent="0.3"/>
    <row r="509" customFormat="1" ht="15.75" customHeight="1" x14ac:dyDescent="0.3"/>
    <row r="510" customFormat="1" ht="15.75" customHeight="1" x14ac:dyDescent="0.3"/>
    <row r="511" customFormat="1" ht="15.75" customHeight="1" x14ac:dyDescent="0.3"/>
    <row r="512" customFormat="1" ht="15.75" customHeight="1" x14ac:dyDescent="0.3"/>
    <row r="513" customFormat="1" ht="15.75" customHeight="1" x14ac:dyDescent="0.3"/>
    <row r="514" customFormat="1" ht="15.75" customHeight="1" x14ac:dyDescent="0.3"/>
    <row r="515" customFormat="1" ht="15.75" customHeight="1" x14ac:dyDescent="0.3"/>
    <row r="516" customFormat="1" ht="15.75" customHeight="1" x14ac:dyDescent="0.3"/>
    <row r="517" customFormat="1" ht="15.75" customHeight="1" x14ac:dyDescent="0.3"/>
    <row r="518" customFormat="1" ht="15.75" customHeight="1" x14ac:dyDescent="0.3"/>
    <row r="519" customFormat="1" ht="15.75" customHeight="1" x14ac:dyDescent="0.3"/>
    <row r="520" customFormat="1" ht="15.75" customHeight="1" x14ac:dyDescent="0.3"/>
    <row r="521" customFormat="1" ht="15.75" customHeight="1" x14ac:dyDescent="0.3"/>
    <row r="522" customFormat="1" ht="15.75" customHeight="1" x14ac:dyDescent="0.3"/>
    <row r="523" customFormat="1" ht="15.75" customHeight="1" x14ac:dyDescent="0.3"/>
    <row r="524" customFormat="1" ht="15.75" customHeight="1" x14ac:dyDescent="0.3"/>
    <row r="525" customFormat="1" ht="15.75" customHeight="1" x14ac:dyDescent="0.3"/>
    <row r="526" customFormat="1" ht="15.75" customHeight="1" x14ac:dyDescent="0.3"/>
    <row r="527" customFormat="1" ht="15.75" customHeight="1" x14ac:dyDescent="0.3"/>
    <row r="528" customFormat="1" ht="15.75" customHeight="1" x14ac:dyDescent="0.3"/>
    <row r="529" customFormat="1" ht="15.75" customHeight="1" x14ac:dyDescent="0.3"/>
    <row r="530" customFormat="1" ht="15.75" customHeight="1" x14ac:dyDescent="0.3"/>
    <row r="531" customFormat="1" ht="15.75" customHeight="1" x14ac:dyDescent="0.3"/>
    <row r="532" customFormat="1" ht="15.75" customHeight="1" x14ac:dyDescent="0.3"/>
    <row r="533" customFormat="1" ht="15.75" customHeight="1" x14ac:dyDescent="0.3"/>
    <row r="534" customFormat="1" ht="15.75" customHeight="1" x14ac:dyDescent="0.3"/>
    <row r="535" customFormat="1" ht="15.75" customHeight="1" x14ac:dyDescent="0.3"/>
    <row r="536" customFormat="1" ht="15.75" customHeight="1" x14ac:dyDescent="0.3"/>
    <row r="537" customFormat="1" ht="15.75" customHeight="1" x14ac:dyDescent="0.3"/>
    <row r="538" customFormat="1" ht="15.75" customHeight="1" x14ac:dyDescent="0.3"/>
    <row r="539" customFormat="1" ht="15.75" customHeight="1" x14ac:dyDescent="0.3"/>
    <row r="540" customFormat="1" ht="15.75" customHeight="1" x14ac:dyDescent="0.3"/>
    <row r="541" customFormat="1" ht="15.75" customHeight="1" x14ac:dyDescent="0.3"/>
    <row r="542" customFormat="1" ht="15.75" customHeight="1" x14ac:dyDescent="0.3"/>
    <row r="543" customFormat="1" ht="15.75" customHeight="1" x14ac:dyDescent="0.3"/>
    <row r="544" customFormat="1" ht="15.75" customHeight="1" x14ac:dyDescent="0.3"/>
    <row r="545" customFormat="1" ht="15.75" customHeight="1" x14ac:dyDescent="0.3"/>
    <row r="546" customFormat="1" ht="15.75" customHeight="1" x14ac:dyDescent="0.3"/>
    <row r="547" customFormat="1" ht="15.75" customHeight="1" x14ac:dyDescent="0.3"/>
    <row r="548" customFormat="1" ht="15.75" customHeight="1" x14ac:dyDescent="0.3"/>
    <row r="549" customFormat="1" ht="15.75" customHeight="1" x14ac:dyDescent="0.3"/>
    <row r="550" customFormat="1" ht="15.75" customHeight="1" x14ac:dyDescent="0.3"/>
    <row r="551" customFormat="1" ht="15.75" customHeight="1" x14ac:dyDescent="0.3"/>
    <row r="552" customFormat="1" ht="15.75" customHeight="1" x14ac:dyDescent="0.3"/>
    <row r="553" customFormat="1" ht="15.75" customHeight="1" x14ac:dyDescent="0.3"/>
    <row r="554" customFormat="1" ht="15.75" customHeight="1" x14ac:dyDescent="0.3"/>
    <row r="555" customFormat="1" ht="15.75" customHeight="1" x14ac:dyDescent="0.3"/>
    <row r="556" customFormat="1" ht="15.75" customHeight="1" x14ac:dyDescent="0.3"/>
    <row r="557" customFormat="1" ht="15.75" customHeight="1" x14ac:dyDescent="0.3"/>
    <row r="558" customFormat="1" ht="15.75" customHeight="1" x14ac:dyDescent="0.3"/>
    <row r="559" customFormat="1" ht="15.75" customHeight="1" x14ac:dyDescent="0.3"/>
    <row r="560" customFormat="1" ht="15.75" customHeight="1" x14ac:dyDescent="0.3"/>
    <row r="561" customFormat="1" ht="15.75" customHeight="1" x14ac:dyDescent="0.3"/>
    <row r="562" customFormat="1" ht="15.75" customHeight="1" x14ac:dyDescent="0.3"/>
    <row r="563" customFormat="1" ht="15.75" customHeight="1" x14ac:dyDescent="0.3"/>
    <row r="564" customFormat="1" ht="15.75" customHeight="1" x14ac:dyDescent="0.3"/>
    <row r="565" customFormat="1" ht="15.75" customHeight="1" x14ac:dyDescent="0.3"/>
    <row r="566" customFormat="1" ht="15.75" customHeight="1" x14ac:dyDescent="0.3"/>
    <row r="567" customFormat="1" ht="15.75" customHeight="1" x14ac:dyDescent="0.3"/>
    <row r="568" customFormat="1" ht="15.75" customHeight="1" x14ac:dyDescent="0.3"/>
    <row r="569" customFormat="1" ht="15.75" customHeight="1" x14ac:dyDescent="0.3"/>
    <row r="570" customFormat="1" ht="15.75" customHeight="1" x14ac:dyDescent="0.3"/>
    <row r="571" customFormat="1" ht="15.75" customHeight="1" x14ac:dyDescent="0.3"/>
    <row r="572" customFormat="1" ht="15.75" customHeight="1" x14ac:dyDescent="0.3"/>
    <row r="573" customFormat="1" ht="15.75" customHeight="1" x14ac:dyDescent="0.3"/>
    <row r="574" customFormat="1" ht="15.75" customHeight="1" x14ac:dyDescent="0.3"/>
    <row r="575" customFormat="1" ht="15.75" customHeight="1" x14ac:dyDescent="0.3"/>
    <row r="576" customFormat="1" ht="15.75" customHeight="1" x14ac:dyDescent="0.3"/>
    <row r="577" customFormat="1" ht="15.75" customHeight="1" x14ac:dyDescent="0.3"/>
    <row r="578" customFormat="1" ht="15.75" customHeight="1" x14ac:dyDescent="0.3"/>
    <row r="579" customFormat="1" ht="15.75" customHeight="1" x14ac:dyDescent="0.3"/>
    <row r="580" customFormat="1" ht="15.75" customHeight="1" x14ac:dyDescent="0.3"/>
    <row r="581" customFormat="1" ht="15.75" customHeight="1" x14ac:dyDescent="0.3"/>
    <row r="582" customFormat="1" ht="15.75" customHeight="1" x14ac:dyDescent="0.3"/>
    <row r="583" customFormat="1" ht="15.75" customHeight="1" x14ac:dyDescent="0.3"/>
    <row r="584" customFormat="1" ht="15.75" customHeight="1" x14ac:dyDescent="0.3"/>
    <row r="585" customFormat="1" ht="15.75" customHeight="1" x14ac:dyDescent="0.3"/>
    <row r="586" customFormat="1" ht="15.75" customHeight="1" x14ac:dyDescent="0.3"/>
    <row r="587" customFormat="1" ht="15.75" customHeight="1" x14ac:dyDescent="0.3"/>
    <row r="588" customFormat="1" ht="15.75" customHeight="1" x14ac:dyDescent="0.3"/>
    <row r="589" customFormat="1" ht="15.75" customHeight="1" x14ac:dyDescent="0.3"/>
    <row r="590" customFormat="1" ht="15.75" customHeight="1" x14ac:dyDescent="0.3"/>
    <row r="591" customFormat="1" ht="15.75" customHeight="1" x14ac:dyDescent="0.3"/>
    <row r="592" customFormat="1" ht="15.75" customHeight="1" x14ac:dyDescent="0.3"/>
    <row r="593" customFormat="1" ht="15.75" customHeight="1" x14ac:dyDescent="0.3"/>
    <row r="594" customFormat="1" ht="15.75" customHeight="1" x14ac:dyDescent="0.3"/>
    <row r="595" customFormat="1" ht="15.75" customHeight="1" x14ac:dyDescent="0.3"/>
    <row r="596" customFormat="1" ht="15.75" customHeight="1" x14ac:dyDescent="0.3"/>
    <row r="597" customFormat="1" ht="15.75" customHeight="1" x14ac:dyDescent="0.3"/>
    <row r="598" customFormat="1" ht="15.75" customHeight="1" x14ac:dyDescent="0.3"/>
    <row r="599" customFormat="1" ht="15.75" customHeight="1" x14ac:dyDescent="0.3"/>
    <row r="600" customFormat="1" ht="15.75" customHeight="1" x14ac:dyDescent="0.3"/>
    <row r="601" customFormat="1" ht="15.75" customHeight="1" x14ac:dyDescent="0.3"/>
    <row r="602" customFormat="1" ht="15.75" customHeight="1" x14ac:dyDescent="0.3"/>
    <row r="603" customFormat="1" ht="15.75" customHeight="1" x14ac:dyDescent="0.3"/>
    <row r="604" customFormat="1" ht="15.75" customHeight="1" x14ac:dyDescent="0.3"/>
    <row r="605" customFormat="1" ht="15.75" customHeight="1" x14ac:dyDescent="0.3"/>
    <row r="606" customFormat="1" ht="15.75" customHeight="1" x14ac:dyDescent="0.3"/>
    <row r="607" customFormat="1" ht="15.75" customHeight="1" x14ac:dyDescent="0.3"/>
    <row r="608" customFormat="1" ht="15.75" customHeight="1" x14ac:dyDescent="0.3"/>
    <row r="609" customFormat="1" ht="15.75" customHeight="1" x14ac:dyDescent="0.3"/>
    <row r="610" customFormat="1" ht="15.75" customHeight="1" x14ac:dyDescent="0.3"/>
    <row r="611" customFormat="1" ht="15.75" customHeight="1" x14ac:dyDescent="0.3"/>
    <row r="612" customFormat="1" ht="15.75" customHeight="1" x14ac:dyDescent="0.3"/>
    <row r="613" customFormat="1" ht="15.75" customHeight="1" x14ac:dyDescent="0.3"/>
    <row r="614" customFormat="1" ht="15.75" customHeight="1" x14ac:dyDescent="0.3"/>
    <row r="615" customFormat="1" ht="15.75" customHeight="1" x14ac:dyDescent="0.3"/>
    <row r="616" customFormat="1" ht="15.75" customHeight="1" x14ac:dyDescent="0.3"/>
    <row r="617" customFormat="1" ht="15.75" customHeight="1" x14ac:dyDescent="0.3"/>
    <row r="618" customFormat="1" ht="15.75" customHeight="1" x14ac:dyDescent="0.3"/>
    <row r="619" customFormat="1" ht="15.75" customHeight="1" x14ac:dyDescent="0.3"/>
    <row r="620" customFormat="1" ht="15.75" customHeight="1" x14ac:dyDescent="0.3"/>
    <row r="621" customFormat="1" ht="15.75" customHeight="1" x14ac:dyDescent="0.3"/>
    <row r="622" customFormat="1" ht="15.75" customHeight="1" x14ac:dyDescent="0.3"/>
    <row r="623" customFormat="1" ht="15.75" customHeight="1" x14ac:dyDescent="0.3"/>
    <row r="624" customFormat="1" ht="15.75" customHeight="1" x14ac:dyDescent="0.3"/>
    <row r="625" customFormat="1" ht="15.75" customHeight="1" x14ac:dyDescent="0.3"/>
    <row r="626" customFormat="1" ht="15.75" customHeight="1" x14ac:dyDescent="0.3"/>
    <row r="627" customFormat="1" ht="15.75" customHeight="1" x14ac:dyDescent="0.3"/>
    <row r="628" customFormat="1" ht="15.75" customHeight="1" x14ac:dyDescent="0.3"/>
    <row r="629" customFormat="1" ht="15.75" customHeight="1" x14ac:dyDescent="0.3"/>
    <row r="630" customFormat="1" ht="15.75" customHeight="1" x14ac:dyDescent="0.3"/>
    <row r="631" customFormat="1" ht="15.75" customHeight="1" x14ac:dyDescent="0.3"/>
    <row r="632" customFormat="1" ht="15.75" customHeight="1" x14ac:dyDescent="0.3"/>
    <row r="633" customFormat="1" ht="15.75" customHeight="1" x14ac:dyDescent="0.3"/>
    <row r="634" customFormat="1" ht="15.75" customHeight="1" x14ac:dyDescent="0.3"/>
    <row r="635" customFormat="1" ht="15.75" customHeight="1" x14ac:dyDescent="0.3"/>
    <row r="636" customFormat="1" ht="15.75" customHeight="1" x14ac:dyDescent="0.3"/>
    <row r="637" customFormat="1" ht="15.75" customHeight="1" x14ac:dyDescent="0.3"/>
    <row r="638" customFormat="1" ht="15.75" customHeight="1" x14ac:dyDescent="0.3"/>
    <row r="639" customFormat="1" ht="15.75" customHeight="1" x14ac:dyDescent="0.3"/>
    <row r="640" customFormat="1" ht="15.75" customHeight="1" x14ac:dyDescent="0.3"/>
    <row r="641" customFormat="1" ht="15.75" customHeight="1" x14ac:dyDescent="0.3"/>
    <row r="642" customFormat="1" ht="15.75" customHeight="1" x14ac:dyDescent="0.3"/>
    <row r="643" customFormat="1" ht="15.75" customHeight="1" x14ac:dyDescent="0.3"/>
    <row r="644" customFormat="1" ht="15.75" customHeight="1" x14ac:dyDescent="0.3"/>
    <row r="645" customFormat="1" ht="15.75" customHeight="1" x14ac:dyDescent="0.3"/>
    <row r="646" customFormat="1" ht="15.75" customHeight="1" x14ac:dyDescent="0.3"/>
    <row r="647" customFormat="1" ht="15.75" customHeight="1" x14ac:dyDescent="0.3"/>
    <row r="648" customFormat="1" ht="15.75" customHeight="1" x14ac:dyDescent="0.3"/>
    <row r="649" customFormat="1" ht="15.75" customHeight="1" x14ac:dyDescent="0.3"/>
    <row r="650" customFormat="1" ht="15.75" customHeight="1" x14ac:dyDescent="0.3"/>
    <row r="651" customFormat="1" ht="15.75" customHeight="1" x14ac:dyDescent="0.3"/>
    <row r="652" customFormat="1" ht="15.75" customHeight="1" x14ac:dyDescent="0.3"/>
    <row r="653" customFormat="1" ht="15.75" customHeight="1" x14ac:dyDescent="0.3"/>
    <row r="654" customFormat="1" ht="15.75" customHeight="1" x14ac:dyDescent="0.3"/>
    <row r="655" customFormat="1" ht="15.75" customHeight="1" x14ac:dyDescent="0.3"/>
    <row r="656" customFormat="1" ht="15.75" customHeight="1" x14ac:dyDescent="0.3"/>
    <row r="657" customFormat="1" ht="15.75" customHeight="1" x14ac:dyDescent="0.3"/>
    <row r="658" customFormat="1" ht="15.75" customHeight="1" x14ac:dyDescent="0.3"/>
    <row r="659" customFormat="1" ht="15.75" customHeight="1" x14ac:dyDescent="0.3"/>
    <row r="660" customFormat="1" ht="15.75" customHeight="1" x14ac:dyDescent="0.3"/>
    <row r="661" customFormat="1" ht="15.75" customHeight="1" x14ac:dyDescent="0.3"/>
    <row r="662" customFormat="1" ht="15.75" customHeight="1" x14ac:dyDescent="0.3"/>
    <row r="663" customFormat="1" ht="15.75" customHeight="1" x14ac:dyDescent="0.3"/>
    <row r="664" customFormat="1" ht="15.75" customHeight="1" x14ac:dyDescent="0.3"/>
    <row r="665" customFormat="1" ht="15.75" customHeight="1" x14ac:dyDescent="0.3"/>
    <row r="666" customFormat="1" ht="15.75" customHeight="1" x14ac:dyDescent="0.3"/>
    <row r="667" customFormat="1" ht="15.75" customHeight="1" x14ac:dyDescent="0.3"/>
    <row r="668" customFormat="1" ht="15.75" customHeight="1" x14ac:dyDescent="0.3"/>
    <row r="669" customFormat="1" ht="15.75" customHeight="1" x14ac:dyDescent="0.3"/>
    <row r="670" customFormat="1" ht="15.75" customHeight="1" x14ac:dyDescent="0.3"/>
    <row r="671" customFormat="1" ht="15.75" customHeight="1" x14ac:dyDescent="0.3"/>
    <row r="672" customFormat="1" ht="15.75" customHeight="1" x14ac:dyDescent="0.3"/>
    <row r="673" customFormat="1" ht="15.75" customHeight="1" x14ac:dyDescent="0.3"/>
    <row r="674" customFormat="1" ht="15.75" customHeight="1" x14ac:dyDescent="0.3"/>
    <row r="675" customFormat="1" ht="15.75" customHeight="1" x14ac:dyDescent="0.3"/>
    <row r="676" customFormat="1" ht="15.75" customHeight="1" x14ac:dyDescent="0.3"/>
    <row r="677" customFormat="1" ht="15.75" customHeight="1" x14ac:dyDescent="0.3"/>
    <row r="678" customFormat="1" ht="15.75" customHeight="1" x14ac:dyDescent="0.3"/>
    <row r="679" customFormat="1" ht="15.75" customHeight="1" x14ac:dyDescent="0.3"/>
    <row r="680" customFormat="1" ht="15.75" customHeight="1" x14ac:dyDescent="0.3"/>
    <row r="681" customFormat="1" ht="15.75" customHeight="1" x14ac:dyDescent="0.3"/>
    <row r="682" customFormat="1" ht="15.75" customHeight="1" x14ac:dyDescent="0.3"/>
    <row r="683" customFormat="1" ht="15.75" customHeight="1" x14ac:dyDescent="0.3"/>
    <row r="684" customFormat="1" ht="15.75" customHeight="1" x14ac:dyDescent="0.3"/>
    <row r="685" customFormat="1" ht="15.75" customHeight="1" x14ac:dyDescent="0.3"/>
    <row r="686" customFormat="1" ht="15.75" customHeight="1" x14ac:dyDescent="0.3"/>
    <row r="687" customFormat="1" ht="15.75" customHeight="1" x14ac:dyDescent="0.3"/>
    <row r="688" customFormat="1" ht="15.75" customHeight="1" x14ac:dyDescent="0.3"/>
    <row r="689" customFormat="1" ht="15.75" customHeight="1" x14ac:dyDescent="0.3"/>
    <row r="690" customFormat="1" ht="15.75" customHeight="1" x14ac:dyDescent="0.3"/>
    <row r="691" customFormat="1" ht="15.75" customHeight="1" x14ac:dyDescent="0.3"/>
    <row r="692" customFormat="1" ht="15.75" customHeight="1" x14ac:dyDescent="0.3"/>
    <row r="693" customFormat="1" ht="15.75" customHeight="1" x14ac:dyDescent="0.3"/>
    <row r="694" customFormat="1" ht="15.75" customHeight="1" x14ac:dyDescent="0.3"/>
    <row r="695" customFormat="1" ht="15.75" customHeight="1" x14ac:dyDescent="0.3"/>
    <row r="696" customFormat="1" ht="15.75" customHeight="1" x14ac:dyDescent="0.3"/>
    <row r="697" customFormat="1" ht="15.75" customHeight="1" x14ac:dyDescent="0.3"/>
    <row r="698" customFormat="1" ht="15.75" customHeight="1" x14ac:dyDescent="0.3"/>
    <row r="699" customFormat="1" ht="15.75" customHeight="1" x14ac:dyDescent="0.3"/>
    <row r="700" customFormat="1" ht="15.75" customHeight="1" x14ac:dyDescent="0.3"/>
    <row r="701" customFormat="1" ht="15.75" customHeight="1" x14ac:dyDescent="0.3"/>
    <row r="702" customFormat="1" ht="15.75" customHeight="1" x14ac:dyDescent="0.3"/>
    <row r="703" customFormat="1" ht="15.75" customHeight="1" x14ac:dyDescent="0.3"/>
    <row r="704" customFormat="1" ht="15.75" customHeight="1" x14ac:dyDescent="0.3"/>
    <row r="705" customFormat="1" ht="15.75" customHeight="1" x14ac:dyDescent="0.3"/>
    <row r="706" customFormat="1" ht="15.75" customHeight="1" x14ac:dyDescent="0.3"/>
    <row r="707" customFormat="1" ht="15.75" customHeight="1" x14ac:dyDescent="0.3"/>
    <row r="708" customFormat="1" ht="15.75" customHeight="1" x14ac:dyDescent="0.3"/>
    <row r="709" customFormat="1" ht="15.75" customHeight="1" x14ac:dyDescent="0.3"/>
    <row r="710" customFormat="1" ht="15.75" customHeight="1" x14ac:dyDescent="0.3"/>
    <row r="711" customFormat="1" ht="15.75" customHeight="1" x14ac:dyDescent="0.3"/>
    <row r="712" customFormat="1" ht="15.75" customHeight="1" x14ac:dyDescent="0.3"/>
    <row r="713" customFormat="1" ht="15.75" customHeight="1" x14ac:dyDescent="0.3"/>
    <row r="714" customFormat="1" ht="15.75" customHeight="1" x14ac:dyDescent="0.3"/>
    <row r="715" customFormat="1" ht="15.75" customHeight="1" x14ac:dyDescent="0.3"/>
    <row r="716" customFormat="1" ht="15.75" customHeight="1" x14ac:dyDescent="0.3"/>
    <row r="717" customFormat="1" ht="15.75" customHeight="1" x14ac:dyDescent="0.3"/>
    <row r="718" customFormat="1" ht="15.75" customHeight="1" x14ac:dyDescent="0.3"/>
    <row r="719" customFormat="1" ht="15.75" customHeight="1" x14ac:dyDescent="0.3"/>
    <row r="720" customFormat="1" ht="15.75" customHeight="1" x14ac:dyDescent="0.3"/>
    <row r="721" customFormat="1" ht="15.75" customHeight="1" x14ac:dyDescent="0.3"/>
    <row r="722" customFormat="1" ht="15.75" customHeight="1" x14ac:dyDescent="0.3"/>
    <row r="723" customFormat="1" ht="15.75" customHeight="1" x14ac:dyDescent="0.3"/>
    <row r="724" customFormat="1" ht="15.75" customHeight="1" x14ac:dyDescent="0.3"/>
    <row r="725" customFormat="1" ht="15.75" customHeight="1" x14ac:dyDescent="0.3"/>
    <row r="726" customFormat="1" ht="15.75" customHeight="1" x14ac:dyDescent="0.3"/>
    <row r="727" customFormat="1" ht="15.75" customHeight="1" x14ac:dyDescent="0.3"/>
    <row r="728" customFormat="1" ht="15.75" customHeight="1" x14ac:dyDescent="0.3"/>
    <row r="729" customFormat="1" ht="15.75" customHeight="1" x14ac:dyDescent="0.3"/>
    <row r="730" customFormat="1" ht="15.75" customHeight="1" x14ac:dyDescent="0.3"/>
    <row r="731" customFormat="1" ht="15.75" customHeight="1" x14ac:dyDescent="0.3"/>
    <row r="732" customFormat="1" ht="15.75" customHeight="1" x14ac:dyDescent="0.3"/>
    <row r="733" customFormat="1" ht="15.75" customHeight="1" x14ac:dyDescent="0.3"/>
    <row r="734" customFormat="1" ht="15.75" customHeight="1" x14ac:dyDescent="0.3"/>
    <row r="735" customFormat="1" ht="15.75" customHeight="1" x14ac:dyDescent="0.3"/>
    <row r="736" customFormat="1" ht="15.75" customHeight="1" x14ac:dyDescent="0.3"/>
    <row r="737" customFormat="1" ht="15.75" customHeight="1" x14ac:dyDescent="0.3"/>
    <row r="738" customFormat="1" ht="15.75" customHeight="1" x14ac:dyDescent="0.3"/>
    <row r="739" customFormat="1" ht="15.75" customHeight="1" x14ac:dyDescent="0.3"/>
    <row r="740" customFormat="1" ht="15.75" customHeight="1" x14ac:dyDescent="0.3"/>
    <row r="741" customFormat="1" ht="15.75" customHeight="1" x14ac:dyDescent="0.3"/>
    <row r="742" customFormat="1" ht="15.75" customHeight="1" x14ac:dyDescent="0.3"/>
    <row r="743" customFormat="1" ht="15.75" customHeight="1" x14ac:dyDescent="0.3"/>
    <row r="744" customFormat="1" ht="15.75" customHeight="1" x14ac:dyDescent="0.3"/>
    <row r="745" customFormat="1" ht="15.75" customHeight="1" x14ac:dyDescent="0.3"/>
    <row r="746" customFormat="1" ht="15.75" customHeight="1" x14ac:dyDescent="0.3"/>
    <row r="747" customFormat="1" ht="15.75" customHeight="1" x14ac:dyDescent="0.3"/>
    <row r="748" customFormat="1" ht="15.75" customHeight="1" x14ac:dyDescent="0.3"/>
    <row r="749" customFormat="1" ht="15.75" customHeight="1" x14ac:dyDescent="0.3"/>
    <row r="750" customFormat="1" ht="15.75" customHeight="1" x14ac:dyDescent="0.3"/>
    <row r="751" customFormat="1" ht="15.75" customHeight="1" x14ac:dyDescent="0.3"/>
    <row r="752" customFormat="1" ht="15.75" customHeight="1" x14ac:dyDescent="0.3"/>
    <row r="753" customFormat="1" ht="15.75" customHeight="1" x14ac:dyDescent="0.3"/>
    <row r="754" customFormat="1" ht="15.75" customHeight="1" x14ac:dyDescent="0.3"/>
    <row r="755" customFormat="1" ht="15.75" customHeight="1" x14ac:dyDescent="0.3"/>
    <row r="756" customFormat="1" ht="15.75" customHeight="1" x14ac:dyDescent="0.3"/>
    <row r="757" customFormat="1" ht="15.75" customHeight="1" x14ac:dyDescent="0.3"/>
    <row r="758" customFormat="1" ht="15.75" customHeight="1" x14ac:dyDescent="0.3"/>
    <row r="759" customFormat="1" ht="15.75" customHeight="1" x14ac:dyDescent="0.3"/>
    <row r="760" customFormat="1" ht="15.75" customHeight="1" x14ac:dyDescent="0.3"/>
    <row r="761" customFormat="1" ht="15.75" customHeight="1" x14ac:dyDescent="0.3"/>
    <row r="762" customFormat="1" ht="15.75" customHeight="1" x14ac:dyDescent="0.3"/>
    <row r="763" customFormat="1" ht="15.75" customHeight="1" x14ac:dyDescent="0.3"/>
    <row r="764" customFormat="1" ht="15.75" customHeight="1" x14ac:dyDescent="0.3"/>
    <row r="765" customFormat="1" ht="15.75" customHeight="1" x14ac:dyDescent="0.3"/>
    <row r="766" customFormat="1" ht="15.75" customHeight="1" x14ac:dyDescent="0.3"/>
    <row r="767" customFormat="1" ht="15.75" customHeight="1" x14ac:dyDescent="0.3"/>
    <row r="768" customFormat="1" ht="15.75" customHeight="1" x14ac:dyDescent="0.3"/>
    <row r="769" customFormat="1" ht="15.75" customHeight="1" x14ac:dyDescent="0.3"/>
    <row r="770" customFormat="1" ht="15.75" customHeight="1" x14ac:dyDescent="0.3"/>
    <row r="771" customFormat="1" ht="15.75" customHeight="1" x14ac:dyDescent="0.3"/>
    <row r="772" customFormat="1" ht="15.75" customHeight="1" x14ac:dyDescent="0.3"/>
    <row r="773" customFormat="1" ht="15.75" customHeight="1" x14ac:dyDescent="0.3"/>
    <row r="774" customFormat="1" ht="15.75" customHeight="1" x14ac:dyDescent="0.3"/>
    <row r="775" customFormat="1" ht="15.75" customHeight="1" x14ac:dyDescent="0.3"/>
    <row r="776" customFormat="1" ht="15.75" customHeight="1" x14ac:dyDescent="0.3"/>
    <row r="777" customFormat="1" ht="15.75" customHeight="1" x14ac:dyDescent="0.3"/>
    <row r="778" customFormat="1" ht="15.75" customHeight="1" x14ac:dyDescent="0.3"/>
    <row r="779" customFormat="1" ht="15.75" customHeight="1" x14ac:dyDescent="0.3"/>
    <row r="780" customFormat="1" ht="15.75" customHeight="1" x14ac:dyDescent="0.3"/>
    <row r="781" customFormat="1" ht="15.75" customHeight="1" x14ac:dyDescent="0.3"/>
    <row r="782" customFormat="1" ht="15.75" customHeight="1" x14ac:dyDescent="0.3"/>
    <row r="783" customFormat="1" ht="15.75" customHeight="1" x14ac:dyDescent="0.3"/>
    <row r="784" customFormat="1" ht="15.75" customHeight="1" x14ac:dyDescent="0.3"/>
    <row r="785" customFormat="1" ht="15.75" customHeight="1" x14ac:dyDescent="0.3"/>
    <row r="786" customFormat="1" ht="15.75" customHeight="1" x14ac:dyDescent="0.3"/>
    <row r="787" customFormat="1" ht="15.75" customHeight="1" x14ac:dyDescent="0.3"/>
    <row r="788" customFormat="1" ht="15.75" customHeight="1" x14ac:dyDescent="0.3"/>
    <row r="789" customFormat="1" ht="15.75" customHeight="1" x14ac:dyDescent="0.3"/>
    <row r="790" customFormat="1" ht="15.75" customHeight="1" x14ac:dyDescent="0.3"/>
    <row r="791" customFormat="1" ht="15.75" customHeight="1" x14ac:dyDescent="0.3"/>
    <row r="792" customFormat="1" ht="15.75" customHeight="1" x14ac:dyDescent="0.3"/>
    <row r="793" customFormat="1" ht="15.75" customHeight="1" x14ac:dyDescent="0.3"/>
    <row r="794" customFormat="1" ht="15.75" customHeight="1" x14ac:dyDescent="0.3"/>
    <row r="795" customFormat="1" ht="15.75" customHeight="1" x14ac:dyDescent="0.3"/>
    <row r="796" customFormat="1" ht="15.75" customHeight="1" x14ac:dyDescent="0.3"/>
    <row r="797" customFormat="1" ht="15.75" customHeight="1" x14ac:dyDescent="0.3"/>
    <row r="798" customFormat="1" ht="15.75" customHeight="1" x14ac:dyDescent="0.3"/>
    <row r="799" customFormat="1" ht="15.75" customHeight="1" x14ac:dyDescent="0.3"/>
    <row r="800" customFormat="1" ht="15.75" customHeight="1" x14ac:dyDescent="0.3"/>
    <row r="801" customFormat="1" ht="15.75" customHeight="1" x14ac:dyDescent="0.3"/>
    <row r="802" customFormat="1" ht="15.75" customHeight="1" x14ac:dyDescent="0.3"/>
    <row r="803" customFormat="1" ht="15.75" customHeight="1" x14ac:dyDescent="0.3"/>
    <row r="804" customFormat="1" ht="15.75" customHeight="1" x14ac:dyDescent="0.3"/>
    <row r="805" customFormat="1" ht="15.75" customHeight="1" x14ac:dyDescent="0.3"/>
    <row r="806" customFormat="1" ht="15.75" customHeight="1" x14ac:dyDescent="0.3"/>
    <row r="807" customFormat="1" ht="15.75" customHeight="1" x14ac:dyDescent="0.3"/>
    <row r="808" customFormat="1" ht="15.75" customHeight="1" x14ac:dyDescent="0.3"/>
    <row r="809" customFormat="1" ht="15.75" customHeight="1" x14ac:dyDescent="0.3"/>
    <row r="810" customFormat="1" ht="15.75" customHeight="1" x14ac:dyDescent="0.3"/>
    <row r="811" customFormat="1" ht="15.75" customHeight="1" x14ac:dyDescent="0.3"/>
    <row r="812" customFormat="1" ht="15.75" customHeight="1" x14ac:dyDescent="0.3"/>
    <row r="813" customFormat="1" ht="15.75" customHeight="1" x14ac:dyDescent="0.3"/>
    <row r="814" customFormat="1" ht="15.75" customHeight="1" x14ac:dyDescent="0.3"/>
    <row r="815" customFormat="1" ht="15.75" customHeight="1" x14ac:dyDescent="0.3"/>
    <row r="816" customFormat="1" ht="15.75" customHeight="1" x14ac:dyDescent="0.3"/>
    <row r="817" customFormat="1" ht="15.75" customHeight="1" x14ac:dyDescent="0.3"/>
    <row r="818" customFormat="1" ht="15.75" customHeight="1" x14ac:dyDescent="0.3"/>
    <row r="819" customFormat="1" ht="15.75" customHeight="1" x14ac:dyDescent="0.3"/>
    <row r="820" customFormat="1" ht="15.75" customHeight="1" x14ac:dyDescent="0.3"/>
    <row r="821" customFormat="1" ht="15.75" customHeight="1" x14ac:dyDescent="0.3"/>
    <row r="822" customFormat="1" ht="15.75" customHeight="1" x14ac:dyDescent="0.3"/>
    <row r="823" customFormat="1" ht="15.75" customHeight="1" x14ac:dyDescent="0.3"/>
    <row r="824" customFormat="1" ht="15.75" customHeight="1" x14ac:dyDescent="0.3"/>
    <row r="825" customFormat="1" ht="15.75" customHeight="1" x14ac:dyDescent="0.3"/>
    <row r="826" customFormat="1" ht="15.75" customHeight="1" x14ac:dyDescent="0.3"/>
    <row r="827" customFormat="1" ht="15.75" customHeight="1" x14ac:dyDescent="0.3"/>
    <row r="828" customFormat="1" ht="15.75" customHeight="1" x14ac:dyDescent="0.3"/>
    <row r="829" customFormat="1" ht="15.75" customHeight="1" x14ac:dyDescent="0.3"/>
    <row r="830" customFormat="1" ht="15.75" customHeight="1" x14ac:dyDescent="0.3"/>
    <row r="831" customFormat="1" ht="15.75" customHeight="1" x14ac:dyDescent="0.3"/>
    <row r="832" customFormat="1" ht="15.75" customHeight="1" x14ac:dyDescent="0.3"/>
    <row r="833" customFormat="1" ht="15.75" customHeight="1" x14ac:dyDescent="0.3"/>
    <row r="834" customFormat="1" ht="15.75" customHeight="1" x14ac:dyDescent="0.3"/>
    <row r="835" customFormat="1" ht="15.75" customHeight="1" x14ac:dyDescent="0.3"/>
    <row r="836" customFormat="1" ht="15.75" customHeight="1" x14ac:dyDescent="0.3"/>
    <row r="837" customFormat="1" ht="15.75" customHeight="1" x14ac:dyDescent="0.3"/>
    <row r="838" customFormat="1" ht="15.75" customHeight="1" x14ac:dyDescent="0.3"/>
    <row r="839" customFormat="1" ht="15.75" customHeight="1" x14ac:dyDescent="0.3"/>
    <row r="840" customFormat="1" ht="15.75" customHeight="1" x14ac:dyDescent="0.3"/>
    <row r="841" customFormat="1" ht="15.75" customHeight="1" x14ac:dyDescent="0.3"/>
    <row r="842" customFormat="1" ht="15.75" customHeight="1" x14ac:dyDescent="0.3"/>
    <row r="843" customFormat="1" ht="15.75" customHeight="1" x14ac:dyDescent="0.3"/>
    <row r="844" customFormat="1" ht="15.75" customHeight="1" x14ac:dyDescent="0.3"/>
    <row r="845" customFormat="1" ht="15.75" customHeight="1" x14ac:dyDescent="0.3"/>
    <row r="846" customFormat="1" ht="15.75" customHeight="1" x14ac:dyDescent="0.3"/>
    <row r="847" customFormat="1" ht="15.75" customHeight="1" x14ac:dyDescent="0.3"/>
    <row r="848" customFormat="1" ht="15.75" customHeight="1" x14ac:dyDescent="0.3"/>
    <row r="849" customFormat="1" ht="15.75" customHeight="1" x14ac:dyDescent="0.3"/>
    <row r="850" customFormat="1" ht="15.75" customHeight="1" x14ac:dyDescent="0.3"/>
    <row r="851" customFormat="1" ht="15.75" customHeight="1" x14ac:dyDescent="0.3"/>
    <row r="852" customFormat="1" ht="15.75" customHeight="1" x14ac:dyDescent="0.3"/>
    <row r="853" customFormat="1" ht="15.75" customHeight="1" x14ac:dyDescent="0.3"/>
    <row r="854" customFormat="1" ht="15.75" customHeight="1" x14ac:dyDescent="0.3"/>
    <row r="855" customFormat="1" ht="15.75" customHeight="1" x14ac:dyDescent="0.3"/>
    <row r="856" customFormat="1" ht="15.75" customHeight="1" x14ac:dyDescent="0.3"/>
    <row r="857" customFormat="1" ht="15.75" customHeight="1" x14ac:dyDescent="0.3"/>
    <row r="858" customFormat="1" ht="15.75" customHeight="1" x14ac:dyDescent="0.3"/>
    <row r="859" customFormat="1" ht="15.75" customHeight="1" x14ac:dyDescent="0.3"/>
    <row r="860" customFormat="1" ht="15.75" customHeight="1" x14ac:dyDescent="0.3"/>
    <row r="861" customFormat="1" ht="15.75" customHeight="1" x14ac:dyDescent="0.3"/>
    <row r="862" customFormat="1" ht="15.75" customHeight="1" x14ac:dyDescent="0.3"/>
    <row r="863" customFormat="1" ht="15.75" customHeight="1" x14ac:dyDescent="0.3"/>
    <row r="864" customFormat="1" ht="15.75" customHeight="1" x14ac:dyDescent="0.3"/>
    <row r="865" customFormat="1" ht="15.75" customHeight="1" x14ac:dyDescent="0.3"/>
    <row r="866" customFormat="1" ht="15.75" customHeight="1" x14ac:dyDescent="0.3"/>
    <row r="867" customFormat="1" ht="15.75" customHeight="1" x14ac:dyDescent="0.3"/>
    <row r="868" customFormat="1" ht="15.75" customHeight="1" x14ac:dyDescent="0.3"/>
    <row r="869" customFormat="1" ht="15.75" customHeight="1" x14ac:dyDescent="0.3"/>
    <row r="870" customFormat="1" ht="15.75" customHeight="1" x14ac:dyDescent="0.3"/>
    <row r="871" customFormat="1" ht="15.75" customHeight="1" x14ac:dyDescent="0.3"/>
    <row r="872" customFormat="1" ht="15.75" customHeight="1" x14ac:dyDescent="0.3"/>
    <row r="873" customFormat="1" ht="15.75" customHeight="1" x14ac:dyDescent="0.3"/>
    <row r="874" customFormat="1" ht="15.75" customHeight="1" x14ac:dyDescent="0.3"/>
    <row r="875" customFormat="1" ht="15.75" customHeight="1" x14ac:dyDescent="0.3"/>
    <row r="876" customFormat="1" ht="15.75" customHeight="1" x14ac:dyDescent="0.3"/>
    <row r="877" customFormat="1" ht="15.75" customHeight="1" x14ac:dyDescent="0.3"/>
    <row r="878" customFormat="1" ht="15.75" customHeight="1" x14ac:dyDescent="0.3"/>
    <row r="879" customFormat="1" ht="15.75" customHeight="1" x14ac:dyDescent="0.3"/>
    <row r="880" customFormat="1" ht="15.75" customHeight="1" x14ac:dyDescent="0.3"/>
    <row r="881" customFormat="1" ht="15.75" customHeight="1" x14ac:dyDescent="0.3"/>
    <row r="882" customFormat="1" ht="15.75" customHeight="1" x14ac:dyDescent="0.3"/>
    <row r="883" customFormat="1" ht="15.75" customHeight="1" x14ac:dyDescent="0.3"/>
    <row r="884" customFormat="1" ht="15.75" customHeight="1" x14ac:dyDescent="0.3"/>
    <row r="885" customFormat="1" ht="15.75" customHeight="1" x14ac:dyDescent="0.3"/>
    <row r="886" customFormat="1" ht="15.75" customHeight="1" x14ac:dyDescent="0.3"/>
    <row r="887" customFormat="1" ht="15.75" customHeight="1" x14ac:dyDescent="0.3"/>
    <row r="888" customFormat="1" ht="15.75" customHeight="1" x14ac:dyDescent="0.3"/>
    <row r="889" customFormat="1" ht="15.75" customHeight="1" x14ac:dyDescent="0.3"/>
    <row r="890" customFormat="1" ht="15.75" customHeight="1" x14ac:dyDescent="0.3"/>
    <row r="891" customFormat="1" ht="15.75" customHeight="1" x14ac:dyDescent="0.3"/>
    <row r="892" customFormat="1" ht="15.75" customHeight="1" x14ac:dyDescent="0.3"/>
    <row r="893" customFormat="1" ht="15.75" customHeight="1" x14ac:dyDescent="0.3"/>
    <row r="894" customFormat="1" ht="15.75" customHeight="1" x14ac:dyDescent="0.3"/>
    <row r="895" customFormat="1" ht="15.75" customHeight="1" x14ac:dyDescent="0.3"/>
    <row r="896" customFormat="1" ht="15.75" customHeight="1" x14ac:dyDescent="0.3"/>
    <row r="897" customFormat="1" ht="15.75" customHeight="1" x14ac:dyDescent="0.3"/>
    <row r="898" customFormat="1" ht="15.75" customHeight="1" x14ac:dyDescent="0.3"/>
    <row r="899" customFormat="1" ht="15.75" customHeight="1" x14ac:dyDescent="0.3"/>
    <row r="900" customFormat="1" ht="15.75" customHeight="1" x14ac:dyDescent="0.3"/>
    <row r="901" customFormat="1" ht="15.75" customHeight="1" x14ac:dyDescent="0.3"/>
    <row r="902" customFormat="1" ht="15.75" customHeight="1" x14ac:dyDescent="0.3"/>
    <row r="903" customFormat="1" ht="15.75" customHeight="1" x14ac:dyDescent="0.3"/>
    <row r="904" customFormat="1" ht="15.75" customHeight="1" x14ac:dyDescent="0.3"/>
    <row r="905" customFormat="1" ht="15.75" customHeight="1" x14ac:dyDescent="0.3"/>
    <row r="906" customFormat="1" ht="15.75" customHeight="1" x14ac:dyDescent="0.3"/>
    <row r="907" customFormat="1" ht="15.75" customHeight="1" x14ac:dyDescent="0.3"/>
    <row r="908" customFormat="1" ht="15.75" customHeight="1" x14ac:dyDescent="0.3"/>
    <row r="909" customFormat="1" ht="15.75" customHeight="1" x14ac:dyDescent="0.3"/>
    <row r="910" customFormat="1" ht="15.75" customHeight="1" x14ac:dyDescent="0.3"/>
    <row r="911" customFormat="1" ht="15.75" customHeight="1" x14ac:dyDescent="0.3"/>
    <row r="912" customFormat="1" ht="15.75" customHeight="1" x14ac:dyDescent="0.3"/>
    <row r="913" customFormat="1" ht="15.75" customHeight="1" x14ac:dyDescent="0.3"/>
    <row r="914" customFormat="1" ht="15.75" customHeight="1" x14ac:dyDescent="0.3"/>
    <row r="915" customFormat="1" ht="15.75" customHeight="1" x14ac:dyDescent="0.3"/>
    <row r="916" customFormat="1" ht="15.75" customHeight="1" x14ac:dyDescent="0.3"/>
    <row r="917" customFormat="1" ht="15.75" customHeight="1" x14ac:dyDescent="0.3"/>
    <row r="918" customFormat="1" ht="15.75" customHeight="1" x14ac:dyDescent="0.3"/>
    <row r="919" customFormat="1" ht="15.75" customHeight="1" x14ac:dyDescent="0.3"/>
    <row r="920" customFormat="1" ht="15.75" customHeight="1" x14ac:dyDescent="0.3"/>
    <row r="921" customFormat="1" ht="15.75" customHeight="1" x14ac:dyDescent="0.3"/>
    <row r="922" customFormat="1" ht="15.75" customHeight="1" x14ac:dyDescent="0.3"/>
    <row r="923" customFormat="1" ht="15.75" customHeight="1" x14ac:dyDescent="0.3"/>
    <row r="924" customFormat="1" ht="15.75" customHeight="1" x14ac:dyDescent="0.3"/>
    <row r="925" customFormat="1" ht="15.75" customHeight="1" x14ac:dyDescent="0.3"/>
    <row r="926" customFormat="1" ht="15.75" customHeight="1" x14ac:dyDescent="0.3"/>
    <row r="927" customFormat="1" ht="15.75" customHeight="1" x14ac:dyDescent="0.3"/>
    <row r="928" customFormat="1" ht="15.75" customHeight="1" x14ac:dyDescent="0.3"/>
    <row r="929" customFormat="1" ht="15.75" customHeight="1" x14ac:dyDescent="0.3"/>
    <row r="930" customFormat="1" ht="15.75" customHeight="1" x14ac:dyDescent="0.3"/>
    <row r="931" customFormat="1" ht="15.75" customHeight="1" x14ac:dyDescent="0.3"/>
    <row r="932" customFormat="1" ht="15.75" customHeight="1" x14ac:dyDescent="0.3"/>
    <row r="933" customFormat="1" ht="15.75" customHeight="1" x14ac:dyDescent="0.3"/>
    <row r="934" customFormat="1" ht="15.75" customHeight="1" x14ac:dyDescent="0.3"/>
    <row r="935" customFormat="1" ht="15.75" customHeight="1" x14ac:dyDescent="0.3"/>
    <row r="936" customFormat="1" ht="15.75" customHeight="1" x14ac:dyDescent="0.3"/>
    <row r="937" customFormat="1" ht="15.75" customHeight="1" x14ac:dyDescent="0.3"/>
    <row r="938" customFormat="1" ht="15.75" customHeight="1" x14ac:dyDescent="0.3"/>
    <row r="939" customFormat="1" ht="15.75" customHeight="1" x14ac:dyDescent="0.3"/>
    <row r="940" customFormat="1" ht="15.75" customHeight="1" x14ac:dyDescent="0.3"/>
    <row r="941" customFormat="1" ht="15.75" customHeight="1" x14ac:dyDescent="0.3"/>
    <row r="942" customFormat="1" ht="15.75" customHeight="1" x14ac:dyDescent="0.3"/>
    <row r="943" customFormat="1" ht="15.75" customHeight="1" x14ac:dyDescent="0.3"/>
    <row r="944" customFormat="1" ht="15.75" customHeight="1" x14ac:dyDescent="0.3"/>
    <row r="945" customFormat="1" ht="15.75" customHeight="1" x14ac:dyDescent="0.3"/>
    <row r="946" customFormat="1" ht="15.75" customHeight="1" x14ac:dyDescent="0.3"/>
    <row r="947" customFormat="1" ht="15.75" customHeight="1" x14ac:dyDescent="0.3"/>
    <row r="948" customFormat="1" ht="15.75" customHeight="1" x14ac:dyDescent="0.3"/>
    <row r="949" customFormat="1" ht="15.75" customHeight="1" x14ac:dyDescent="0.3"/>
    <row r="950" customFormat="1" ht="15.75" customHeight="1" x14ac:dyDescent="0.3"/>
    <row r="951" customFormat="1" ht="15.75" customHeight="1" x14ac:dyDescent="0.3"/>
    <row r="952" customFormat="1" ht="15.75" customHeight="1" x14ac:dyDescent="0.3"/>
    <row r="953" customFormat="1" ht="15.75" customHeight="1" x14ac:dyDescent="0.3"/>
    <row r="954" customFormat="1" ht="15.75" customHeight="1" x14ac:dyDescent="0.3"/>
    <row r="955" customFormat="1" ht="15.75" customHeight="1" x14ac:dyDescent="0.3"/>
    <row r="956" customFormat="1" ht="15.75" customHeight="1" x14ac:dyDescent="0.3"/>
    <row r="957" customFormat="1" ht="15.75" customHeight="1" x14ac:dyDescent="0.3"/>
    <row r="958" customFormat="1" ht="15.75" customHeight="1" x14ac:dyDescent="0.3"/>
    <row r="959" customFormat="1" ht="15.75" customHeight="1" x14ac:dyDescent="0.3"/>
    <row r="960" customFormat="1" ht="15.75" customHeight="1" x14ac:dyDescent="0.3"/>
    <row r="961" customFormat="1" ht="15.75" customHeight="1" x14ac:dyDescent="0.3"/>
    <row r="962" customFormat="1" ht="15.75" customHeight="1" x14ac:dyDescent="0.3"/>
    <row r="963" customFormat="1" ht="15.75" customHeight="1" x14ac:dyDescent="0.3"/>
    <row r="964" customFormat="1" ht="15.75" customHeight="1" x14ac:dyDescent="0.3"/>
    <row r="965" customFormat="1" ht="15.75" customHeight="1" x14ac:dyDescent="0.3"/>
    <row r="966" customFormat="1" ht="15.75" customHeight="1" x14ac:dyDescent="0.3"/>
    <row r="967" customFormat="1" ht="15.75" customHeight="1" x14ac:dyDescent="0.3"/>
    <row r="968" customFormat="1" ht="15.75" customHeight="1" x14ac:dyDescent="0.3"/>
    <row r="969" customFormat="1" ht="15.75" customHeight="1" x14ac:dyDescent="0.3"/>
    <row r="970" customFormat="1" ht="15.75" customHeight="1" x14ac:dyDescent="0.3"/>
    <row r="971" customFormat="1" ht="15.75" customHeight="1" x14ac:dyDescent="0.3"/>
    <row r="972" customFormat="1" ht="15.75" customHeight="1" x14ac:dyDescent="0.3"/>
    <row r="973" customFormat="1" ht="15.75" customHeight="1" x14ac:dyDescent="0.3"/>
    <row r="974" customFormat="1" ht="15.75" customHeight="1" x14ac:dyDescent="0.3"/>
    <row r="975" customFormat="1" ht="15.75" customHeight="1" x14ac:dyDescent="0.3"/>
    <row r="976" customFormat="1" ht="15.75" customHeight="1" x14ac:dyDescent="0.3"/>
    <row r="977" customFormat="1" ht="15.75" customHeight="1" x14ac:dyDescent="0.3"/>
    <row r="978" customFormat="1" ht="15.75" customHeight="1" x14ac:dyDescent="0.3"/>
    <row r="979" customFormat="1" ht="15.75" customHeight="1" x14ac:dyDescent="0.3"/>
    <row r="980" customFormat="1" ht="15.75" customHeight="1" x14ac:dyDescent="0.3"/>
    <row r="981" customFormat="1" ht="15.75" customHeight="1" x14ac:dyDescent="0.3"/>
    <row r="982" customFormat="1" ht="15.75" customHeight="1" x14ac:dyDescent="0.3"/>
    <row r="983" customFormat="1" ht="15.75" customHeight="1" x14ac:dyDescent="0.3"/>
    <row r="984" customFormat="1" ht="15.75" customHeight="1" x14ac:dyDescent="0.3"/>
    <row r="985" customFormat="1" ht="15.75" customHeight="1" x14ac:dyDescent="0.3"/>
    <row r="986" customFormat="1" ht="15.75" customHeight="1" x14ac:dyDescent="0.3"/>
    <row r="987" customFormat="1" ht="15.75" customHeight="1" x14ac:dyDescent="0.3"/>
    <row r="988" customFormat="1" ht="15.75" customHeight="1" x14ac:dyDescent="0.3"/>
    <row r="989" customFormat="1" ht="15.75" customHeight="1" x14ac:dyDescent="0.3"/>
    <row r="990" customFormat="1" ht="15.75" customHeight="1" x14ac:dyDescent="0.3"/>
    <row r="991" customFormat="1" ht="15.75" customHeight="1" x14ac:dyDescent="0.3"/>
    <row r="992" customFormat="1" ht="15.75" customHeight="1" x14ac:dyDescent="0.3"/>
    <row r="993" customFormat="1" ht="15.75" customHeight="1" x14ac:dyDescent="0.3"/>
    <row r="994" customFormat="1" ht="15.75" customHeight="1" x14ac:dyDescent="0.3"/>
    <row r="995" customFormat="1" ht="15.75" customHeight="1" x14ac:dyDescent="0.3"/>
    <row r="996" customFormat="1" ht="15.75" customHeight="1" x14ac:dyDescent="0.3"/>
    <row r="997" customFormat="1" ht="15.75" customHeight="1" x14ac:dyDescent="0.3"/>
    <row r="998" customFormat="1" ht="15.75" customHeight="1" x14ac:dyDescent="0.3"/>
    <row r="999" customFormat="1" ht="15.75" customHeight="1" x14ac:dyDescent="0.3"/>
    <row r="1000" customFormat="1" ht="15.75" customHeight="1" x14ac:dyDescent="0.3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1F537-C96D-4229-8512-EBC7CF00B79E}">
  <sheetPr>
    <tabColor rgb="FF00B0F0"/>
  </sheetPr>
  <dimension ref="B2:G18"/>
  <sheetViews>
    <sheetView workbookViewId="0">
      <selection activeCell="C18" sqref="C18"/>
    </sheetView>
  </sheetViews>
  <sheetFormatPr defaultRowHeight="14.4" x14ac:dyDescent="0.3"/>
  <cols>
    <col min="2" max="2" width="26.33203125" bestFit="1" customWidth="1"/>
    <col min="3" max="7" width="10.33203125" bestFit="1" customWidth="1"/>
  </cols>
  <sheetData>
    <row r="2" spans="2:7" x14ac:dyDescent="0.3">
      <c r="B2" s="26" t="s">
        <v>75</v>
      </c>
      <c r="C2" s="26"/>
      <c r="D2" s="26"/>
      <c r="E2" s="26"/>
      <c r="F2" s="26"/>
      <c r="G2" s="26"/>
    </row>
    <row r="3" spans="2:7" ht="15" thickBot="1" x14ac:dyDescent="0.35">
      <c r="B3" s="27" t="s">
        <v>1</v>
      </c>
      <c r="C3" s="58">
        <v>44562</v>
      </c>
      <c r="D3" s="58">
        <f t="shared" ref="D3:G3" si="0">EDATE(C3,12)</f>
        <v>44927</v>
      </c>
      <c r="E3" s="58">
        <f t="shared" si="0"/>
        <v>45292</v>
      </c>
      <c r="F3" s="58">
        <f t="shared" si="0"/>
        <v>45658</v>
      </c>
      <c r="G3" s="58">
        <f t="shared" si="0"/>
        <v>46023</v>
      </c>
    </row>
    <row r="4" spans="2:7" x14ac:dyDescent="0.3">
      <c r="B4" s="16" t="s">
        <v>24</v>
      </c>
      <c r="C4" s="41">
        <f>'Income Statement'!C26</f>
        <v>1684.7690476190478</v>
      </c>
      <c r="D4" s="41">
        <f>'Income Statement'!D26</f>
        <v>2324.6690476190479</v>
      </c>
      <c r="E4" s="41">
        <f>'Income Statement'!E26</f>
        <v>3314.1440476190478</v>
      </c>
      <c r="F4" s="41">
        <f>'Income Statement'!F26</f>
        <v>5192.3690476190477</v>
      </c>
      <c r="G4" s="41">
        <f>'Income Statement'!G26</f>
        <v>9262.8440476190481</v>
      </c>
    </row>
    <row r="5" spans="2:7" x14ac:dyDescent="0.3">
      <c r="B5" s="11" t="s">
        <v>76</v>
      </c>
    </row>
    <row r="6" spans="2:7" x14ac:dyDescent="0.3">
      <c r="B6" s="1" t="s">
        <v>42</v>
      </c>
      <c r="C6" s="41">
        <f>'Fixed Assets'!D15</f>
        <v>4952.3809523809523</v>
      </c>
      <c r="D6" s="41">
        <f>'Fixed Assets'!E15</f>
        <v>4952.3809523809523</v>
      </c>
      <c r="E6" s="41">
        <f>'Fixed Assets'!F15</f>
        <v>4952.3809523809523</v>
      </c>
      <c r="F6" s="41">
        <f>'Fixed Assets'!G15</f>
        <v>4952.3809523809523</v>
      </c>
      <c r="G6" s="41">
        <f>'Fixed Assets'!H15</f>
        <v>2952.3809523809523</v>
      </c>
    </row>
    <row r="7" spans="2:7" x14ac:dyDescent="0.3">
      <c r="B7" s="1" t="str">
        <f>"Change in "&amp;'[1]Balance Sheet'!B6</f>
        <v>Change in Accounts Receivable</v>
      </c>
      <c r="C7" s="41">
        <f>-('Balance Sheet'!D6-'Balance Sheet'!C6)</f>
        <v>-87.5</v>
      </c>
      <c r="D7" s="41">
        <f>-('Balance Sheet'!E6-'Balance Sheet'!D6)</f>
        <v>-23.75</v>
      </c>
      <c r="E7" s="41">
        <f>-('Balance Sheet'!F6-'Balance Sheet'!E6)</f>
        <v>-47.5</v>
      </c>
      <c r="F7" s="41">
        <f>-('Balance Sheet'!G6-'Balance Sheet'!F6)</f>
        <v>-71.25</v>
      </c>
      <c r="G7" s="41">
        <f>-('Balance Sheet'!H6-'Balance Sheet'!G6)</f>
        <v>-95</v>
      </c>
    </row>
    <row r="8" spans="2:7" x14ac:dyDescent="0.3">
      <c r="B8" s="1" t="str">
        <f>"Change in "&amp;'[1]Balance Sheet'!B16</f>
        <v>Change in Accounts Payable</v>
      </c>
      <c r="C8" s="41">
        <f>('Balance Sheet'!D16-'Balance Sheet'!C16)</f>
        <v>20.338983050847446</v>
      </c>
      <c r="D8" s="41">
        <f>('Balance Sheet'!E16-'Balance Sheet'!D16)</f>
        <v>22.033898305084762</v>
      </c>
      <c r="E8" s="41">
        <f>('Balance Sheet'!F16-'Balance Sheet'!E16)</f>
        <v>44.067796610169495</v>
      </c>
      <c r="F8" s="41">
        <f>('Balance Sheet'!G16-'Balance Sheet'!F16)</f>
        <v>66.101694915254257</v>
      </c>
      <c r="G8" s="41">
        <f>('Balance Sheet'!H16-'Balance Sheet'!G16)</f>
        <v>88.135593220338933</v>
      </c>
    </row>
    <row r="9" spans="2:7" x14ac:dyDescent="0.3">
      <c r="B9" s="1" t="str">
        <f>"Change in "&amp;'[1]Balance Sheet'!B17</f>
        <v>Change in Deferred Revenue</v>
      </c>
      <c r="C9" s="41">
        <f>('Balance Sheet'!D17-'Balance Sheet'!C17)</f>
        <v>58.333333333333343</v>
      </c>
      <c r="D9" s="41">
        <f>('Balance Sheet'!E17-'Balance Sheet'!D17)</f>
        <v>15.833333333333343</v>
      </c>
      <c r="E9" s="41">
        <f>('Balance Sheet'!F17-'Balance Sheet'!E17)</f>
        <v>31.666666666666657</v>
      </c>
      <c r="F9" s="41">
        <f>('Balance Sheet'!G17-'Balance Sheet'!F17)</f>
        <v>47.5</v>
      </c>
      <c r="G9" s="41">
        <f>('Balance Sheet'!H17-'Balance Sheet'!G17)</f>
        <v>63.333333333333343</v>
      </c>
    </row>
    <row r="10" spans="2:7" x14ac:dyDescent="0.3">
      <c r="B10" s="15" t="s">
        <v>77</v>
      </c>
      <c r="C10" s="48">
        <f>SUM(C6:C9)</f>
        <v>4943.553268765133</v>
      </c>
      <c r="D10" s="48">
        <f t="shared" ref="D10:G10" si="1">SUM(D6:D9)</f>
        <v>4966.4981840193705</v>
      </c>
      <c r="E10" s="48">
        <f t="shared" si="1"/>
        <v>4980.6154156577886</v>
      </c>
      <c r="F10" s="48">
        <f t="shared" si="1"/>
        <v>4994.7326472962068</v>
      </c>
      <c r="G10" s="48">
        <f t="shared" si="1"/>
        <v>3008.8498789346245</v>
      </c>
    </row>
    <row r="11" spans="2:7" x14ac:dyDescent="0.3">
      <c r="B11" s="11" t="s">
        <v>78</v>
      </c>
    </row>
    <row r="12" spans="2:7" x14ac:dyDescent="0.3">
      <c r="B12" s="29" t="s">
        <v>37</v>
      </c>
      <c r="C12" s="41">
        <f>-('Fixed Assets'!D8)</f>
        <v>-14000</v>
      </c>
      <c r="D12" s="41">
        <f>-('Fixed Assets'!E8)</f>
        <v>0</v>
      </c>
      <c r="E12" s="41">
        <f>-('Fixed Assets'!F8)</f>
        <v>0</v>
      </c>
      <c r="F12" s="41">
        <f>-('Fixed Assets'!G8)</f>
        <v>-5000</v>
      </c>
      <c r="G12" s="41">
        <f>-('Fixed Assets'!H8)</f>
        <v>0</v>
      </c>
    </row>
    <row r="13" spans="2:7" x14ac:dyDescent="0.3">
      <c r="B13" s="59" t="s">
        <v>79</v>
      </c>
      <c r="C13" s="48">
        <f>C12</f>
        <v>-14000</v>
      </c>
      <c r="D13" s="48">
        <f t="shared" ref="D13:G13" si="2">D12</f>
        <v>0</v>
      </c>
      <c r="E13" s="48">
        <f t="shared" si="2"/>
        <v>0</v>
      </c>
      <c r="F13" s="48">
        <f t="shared" si="2"/>
        <v>-5000</v>
      </c>
      <c r="G13" s="48">
        <f t="shared" si="2"/>
        <v>0</v>
      </c>
    </row>
    <row r="14" spans="2:7" x14ac:dyDescent="0.3">
      <c r="B14" s="11" t="s">
        <v>80</v>
      </c>
    </row>
    <row r="15" spans="2:7" x14ac:dyDescent="0.3">
      <c r="B15" s="29" t="s">
        <v>72</v>
      </c>
      <c r="C15" s="41">
        <f>-('Balance Sheet'!D40)</f>
        <v>-500</v>
      </c>
      <c r="D15" s="41">
        <f>-('Balance Sheet'!E40)</f>
        <v>-500</v>
      </c>
      <c r="E15" s="41">
        <f>-('Balance Sheet'!F40)</f>
        <v>-750</v>
      </c>
      <c r="F15" s="41">
        <f>-('Balance Sheet'!G40)</f>
        <v>-750</v>
      </c>
      <c r="G15" s="41">
        <f>-('Balance Sheet'!H40)</f>
        <v>-750</v>
      </c>
    </row>
    <row r="16" spans="2:7" x14ac:dyDescent="0.3">
      <c r="B16" s="29" t="s">
        <v>81</v>
      </c>
      <c r="C16">
        <f>'Balance Sheet'!D39</f>
        <v>0</v>
      </c>
      <c r="D16">
        <f>'Balance Sheet'!E39</f>
        <v>0</v>
      </c>
      <c r="E16">
        <f>'Balance Sheet'!F39</f>
        <v>5000</v>
      </c>
      <c r="F16">
        <f>'Balance Sheet'!G39</f>
        <v>0</v>
      </c>
      <c r="G16">
        <f>'Balance Sheet'!H39</f>
        <v>0</v>
      </c>
    </row>
    <row r="17" spans="2:7" x14ac:dyDescent="0.3">
      <c r="B17" s="53" t="s">
        <v>82</v>
      </c>
      <c r="C17" s="50">
        <f>SUM(C15:C16)</f>
        <v>-500</v>
      </c>
      <c r="D17" s="50">
        <f t="shared" ref="D17:G17" si="3">SUM(D15:D16)</f>
        <v>-500</v>
      </c>
      <c r="E17" s="50">
        <f t="shared" si="3"/>
        <v>4250</v>
      </c>
      <c r="F17" s="50">
        <f t="shared" si="3"/>
        <v>-750</v>
      </c>
      <c r="G17" s="50">
        <f t="shared" si="3"/>
        <v>-750</v>
      </c>
    </row>
    <row r="18" spans="2:7" ht="15" thickBot="1" x14ac:dyDescent="0.35">
      <c r="B18" s="35" t="s">
        <v>83</v>
      </c>
      <c r="C18" s="51">
        <f>C4+C10+C13+C17</f>
        <v>-7871.6776836158188</v>
      </c>
      <c r="D18" s="51">
        <f t="shared" ref="D18:G18" si="4">D4+D10+D13+D17</f>
        <v>6791.1672316384183</v>
      </c>
      <c r="E18" s="51">
        <f t="shared" si="4"/>
        <v>12544.759463276836</v>
      </c>
      <c r="F18" s="51">
        <f t="shared" si="4"/>
        <v>4437.1016949152545</v>
      </c>
      <c r="G18" s="51">
        <f t="shared" si="4"/>
        <v>11521.693926553673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534C7-EEEE-46E9-AA88-9E7990E2461C}">
  <sheetPr>
    <tabColor rgb="FF92D050"/>
  </sheetPr>
  <dimension ref="B2:H15"/>
  <sheetViews>
    <sheetView workbookViewId="0">
      <selection activeCell="H12" sqref="H12:H14"/>
    </sheetView>
  </sheetViews>
  <sheetFormatPr defaultRowHeight="14.4" x14ac:dyDescent="0.3"/>
  <cols>
    <col min="2" max="3" width="16" bestFit="1" customWidth="1"/>
    <col min="4" max="8" width="10.33203125" bestFit="1" customWidth="1"/>
  </cols>
  <sheetData>
    <row r="2" spans="2:8" x14ac:dyDescent="0.3">
      <c r="B2" s="26" t="s">
        <v>35</v>
      </c>
      <c r="C2" s="26"/>
      <c r="D2" s="26"/>
      <c r="E2" s="26"/>
      <c r="F2" s="26"/>
      <c r="G2" s="26"/>
      <c r="H2" s="26"/>
    </row>
    <row r="3" spans="2:8" ht="15" thickBot="1" x14ac:dyDescent="0.35">
      <c r="B3" s="27" t="s">
        <v>1</v>
      </c>
      <c r="C3" s="28" t="s">
        <v>36</v>
      </c>
      <c r="D3" s="34">
        <v>44926</v>
      </c>
      <c r="E3" s="34">
        <f t="shared" ref="E3:H3" si="0">EDATE(D3,12)</f>
        <v>45291</v>
      </c>
      <c r="F3" s="34">
        <f t="shared" si="0"/>
        <v>45657</v>
      </c>
      <c r="G3" s="34">
        <f t="shared" si="0"/>
        <v>46022</v>
      </c>
      <c r="H3" s="34">
        <f t="shared" si="0"/>
        <v>46387</v>
      </c>
    </row>
    <row r="4" spans="2:8" x14ac:dyDescent="0.3">
      <c r="B4" s="11" t="s">
        <v>37</v>
      </c>
    </row>
    <row r="5" spans="2:8" x14ac:dyDescent="0.3">
      <c r="B5" s="1" t="s">
        <v>38</v>
      </c>
      <c r="C5" s="30">
        <v>3</v>
      </c>
      <c r="D5" s="31">
        <v>5000</v>
      </c>
      <c r="E5" s="31"/>
      <c r="F5" s="32"/>
      <c r="G5" s="31">
        <v>5000</v>
      </c>
    </row>
    <row r="6" spans="2:8" x14ac:dyDescent="0.3">
      <c r="B6" s="1" t="s">
        <v>39</v>
      </c>
      <c r="C6" s="30">
        <v>7</v>
      </c>
      <c r="D6" s="31">
        <v>3000</v>
      </c>
      <c r="E6" s="31"/>
      <c r="F6" s="31"/>
      <c r="G6" s="32"/>
    </row>
    <row r="7" spans="2:8" x14ac:dyDescent="0.3">
      <c r="B7" s="1" t="s">
        <v>40</v>
      </c>
      <c r="C7" s="30">
        <v>7</v>
      </c>
      <c r="D7" s="31">
        <v>6000</v>
      </c>
      <c r="E7" s="31"/>
      <c r="F7" s="31"/>
      <c r="G7" s="32"/>
    </row>
    <row r="8" spans="2:8" ht="15" thickBot="1" x14ac:dyDescent="0.35">
      <c r="B8" s="35" t="s">
        <v>41</v>
      </c>
      <c r="C8" s="37"/>
      <c r="D8" s="38">
        <f>SUM(D5:D7)</f>
        <v>14000</v>
      </c>
      <c r="E8" s="38">
        <f t="shared" ref="E8:H8" si="1">SUM(E5:E7)</f>
        <v>0</v>
      </c>
      <c r="F8" s="38">
        <f t="shared" si="1"/>
        <v>0</v>
      </c>
      <c r="G8" s="38">
        <f t="shared" si="1"/>
        <v>5000</v>
      </c>
      <c r="H8" s="38">
        <f t="shared" si="1"/>
        <v>0</v>
      </c>
    </row>
    <row r="10" spans="2:8" x14ac:dyDescent="0.3">
      <c r="B10" s="29" t="s">
        <v>42</v>
      </c>
    </row>
    <row r="11" spans="2:8" x14ac:dyDescent="0.3">
      <c r="B11" s="1" t="s">
        <v>43</v>
      </c>
      <c r="D11" s="31">
        <v>2000</v>
      </c>
      <c r="E11" s="31">
        <v>2000</v>
      </c>
      <c r="F11" s="31">
        <v>2000</v>
      </c>
      <c r="G11" s="31">
        <v>2000</v>
      </c>
    </row>
    <row r="12" spans="2:8" x14ac:dyDescent="0.3">
      <c r="B12" s="1" t="str">
        <f t="shared" ref="B12:B14" si="2">B5</f>
        <v>Lemon Crusher</v>
      </c>
      <c r="D12" s="33">
        <f>$D5/$C5</f>
        <v>1666.6666666666667</v>
      </c>
      <c r="E12" s="33">
        <f t="shared" ref="E12:F12" si="3">$D5/$C5</f>
        <v>1666.6666666666667</v>
      </c>
      <c r="F12" s="33">
        <f t="shared" si="3"/>
        <v>1666.6666666666667</v>
      </c>
      <c r="G12" s="33">
        <f>$G5/$C5</f>
        <v>1666.6666666666667</v>
      </c>
      <c r="H12" s="33">
        <f>$G5/$C5</f>
        <v>1666.6666666666667</v>
      </c>
    </row>
    <row r="13" spans="2:8" x14ac:dyDescent="0.3">
      <c r="B13" s="1" t="str">
        <f t="shared" si="2"/>
        <v>Ice Machine</v>
      </c>
      <c r="D13" s="33">
        <f t="shared" ref="D13:G14" si="4">$D6/$C6</f>
        <v>428.57142857142856</v>
      </c>
      <c r="E13" s="33">
        <f t="shared" si="4"/>
        <v>428.57142857142856</v>
      </c>
      <c r="F13" s="33">
        <f t="shared" si="4"/>
        <v>428.57142857142856</v>
      </c>
      <c r="G13" s="33">
        <f t="shared" si="4"/>
        <v>428.57142857142856</v>
      </c>
      <c r="H13" s="33">
        <f t="shared" ref="H13" si="5">$D6/$C6</f>
        <v>428.57142857142856</v>
      </c>
    </row>
    <row r="14" spans="2:8" x14ac:dyDescent="0.3">
      <c r="B14" s="1" t="str">
        <f t="shared" si="2"/>
        <v>Refrigerator</v>
      </c>
      <c r="D14" s="33">
        <f t="shared" si="4"/>
        <v>857.14285714285711</v>
      </c>
      <c r="E14" s="33">
        <f t="shared" si="4"/>
        <v>857.14285714285711</v>
      </c>
      <c r="F14" s="33">
        <f t="shared" si="4"/>
        <v>857.14285714285711</v>
      </c>
      <c r="G14" s="33">
        <f t="shared" si="4"/>
        <v>857.14285714285711</v>
      </c>
      <c r="H14" s="33">
        <f t="shared" ref="H14" si="6">$D7/$C7</f>
        <v>857.14285714285711</v>
      </c>
    </row>
    <row r="15" spans="2:8" ht="15" thickBot="1" x14ac:dyDescent="0.35">
      <c r="B15" s="35" t="s">
        <v>44</v>
      </c>
      <c r="C15" s="35"/>
      <c r="D15" s="36">
        <f>SUM(D11:D14)</f>
        <v>4952.3809523809523</v>
      </c>
      <c r="E15" s="36">
        <f t="shared" ref="E15:G15" si="7">SUM(E11:E14)</f>
        <v>4952.3809523809523</v>
      </c>
      <c r="F15" s="36">
        <f t="shared" si="7"/>
        <v>4952.3809523809523</v>
      </c>
      <c r="G15" s="36">
        <f t="shared" si="7"/>
        <v>4952.3809523809523</v>
      </c>
      <c r="H15" s="36">
        <f>SUM(H11:H14)</f>
        <v>2952.3809523809523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Income Statement</vt:lpstr>
      <vt:lpstr>Balance Sheet</vt:lpstr>
      <vt:lpstr>Cash Flow Statement</vt:lpstr>
      <vt:lpstr>Fixed Assets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 yadav</dc:creator>
  <cp:lastModifiedBy>kartik yadav</cp:lastModifiedBy>
  <dcterms:created xsi:type="dcterms:W3CDTF">2025-12-30T08:48:24Z</dcterms:created>
  <dcterms:modified xsi:type="dcterms:W3CDTF">2025-12-30T10:46:40Z</dcterms:modified>
</cp:coreProperties>
</file>