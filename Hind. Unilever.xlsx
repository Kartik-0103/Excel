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EC362E89-2F67-41AA-AB70-E7AE2C74C2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tio Analysis" sheetId="9" r:id="rId1"/>
    <sheet name="Historical Financial Statement " sheetId="7" r:id="rId2"/>
    <sheet name="Forecasting" sheetId="10" r:id="rId3"/>
    <sheet name="Cash Flow Data " sheetId="8" r:id="rId4"/>
    <sheet name="Data Sheet" sheetId="6" r:id="rId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6" i="10" l="1"/>
  <c r="N17" i="10"/>
  <c r="N18" i="10"/>
  <c r="N19" i="10"/>
  <c r="N15" i="10"/>
  <c r="N5" i="10" a="1"/>
  <c r="N5" i="10" s="1"/>
  <c r="L3" i="10"/>
  <c r="L6" i="10"/>
  <c r="L7" i="10" s="1"/>
  <c r="L8" i="10" s="1"/>
  <c r="L9" i="10" s="1"/>
  <c r="L10" i="10" s="1"/>
  <c r="L11" i="10" s="1"/>
  <c r="L12" i="10" s="1"/>
  <c r="L13" i="10" s="1"/>
  <c r="L14" i="10" s="1"/>
  <c r="L15" i="10" s="1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I16" i="10"/>
  <c r="I17" i="10"/>
  <c r="I18" i="10"/>
  <c r="I19" i="10"/>
  <c r="I15" i="10"/>
  <c r="J6" i="10"/>
  <c r="I5" i="10" a="1"/>
  <c r="I5" i="10" s="1"/>
  <c r="H5" i="10"/>
  <c r="H6" i="10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G3" i="10"/>
  <c r="G6" i="10"/>
  <c r="G7" i="10" s="1"/>
  <c r="G8" i="10" s="1"/>
  <c r="G9" i="10" s="1"/>
  <c r="G10" i="10" s="1"/>
  <c r="G11" i="10" s="1"/>
  <c r="G12" i="10" s="1"/>
  <c r="G13" i="10" s="1"/>
  <c r="G14" i="10" s="1"/>
  <c r="G15" i="10" s="1"/>
  <c r="D5" i="10" a="1"/>
  <c r="D7" i="10" s="1"/>
  <c r="E7" i="10" s="1"/>
  <c r="D5" i="10"/>
  <c r="D6" i="10"/>
  <c r="E6" i="10" s="1"/>
  <c r="C5" i="10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B3" i="10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L31" i="9"/>
  <c r="K31" i="9"/>
  <c r="J31" i="9"/>
  <c r="I31" i="9"/>
  <c r="H31" i="9"/>
  <c r="G31" i="9"/>
  <c r="F31" i="9"/>
  <c r="E31" i="9"/>
  <c r="D31" i="9"/>
  <c r="L30" i="9"/>
  <c r="K30" i="9"/>
  <c r="J30" i="9"/>
  <c r="I30" i="9"/>
  <c r="H30" i="9"/>
  <c r="G30" i="9"/>
  <c r="F30" i="9"/>
  <c r="E30" i="9"/>
  <c r="D30" i="9"/>
  <c r="L29" i="9"/>
  <c r="L35" i="9" s="1"/>
  <c r="K29" i="9"/>
  <c r="K35" i="9" s="1"/>
  <c r="J29" i="9"/>
  <c r="J35" i="9" s="1"/>
  <c r="I29" i="9"/>
  <c r="I35" i="9" s="1"/>
  <c r="H29" i="9"/>
  <c r="H35" i="9" s="1"/>
  <c r="G29" i="9"/>
  <c r="G35" i="9" s="1"/>
  <c r="F29" i="9"/>
  <c r="F35" i="9" s="1"/>
  <c r="E29" i="9"/>
  <c r="E35" i="9" s="1"/>
  <c r="D29" i="9"/>
  <c r="D35" i="9" s="1"/>
  <c r="L28" i="9"/>
  <c r="L34" i="9" s="1"/>
  <c r="K28" i="9"/>
  <c r="K34" i="9" s="1"/>
  <c r="J28" i="9"/>
  <c r="J34" i="9" s="1"/>
  <c r="I28" i="9"/>
  <c r="I34" i="9" s="1"/>
  <c r="H28" i="9"/>
  <c r="H34" i="9" s="1"/>
  <c r="G28" i="9"/>
  <c r="G34" i="9" s="1"/>
  <c r="F28" i="9"/>
  <c r="F34" i="9" s="1"/>
  <c r="E28" i="9"/>
  <c r="E34" i="9" s="1"/>
  <c r="D28" i="9"/>
  <c r="D34" i="9" s="1"/>
  <c r="L27" i="9"/>
  <c r="L33" i="9" s="1"/>
  <c r="K27" i="9"/>
  <c r="K33" i="9" s="1"/>
  <c r="J27" i="9"/>
  <c r="J33" i="9" s="1"/>
  <c r="I27" i="9"/>
  <c r="I33" i="9" s="1"/>
  <c r="H27" i="9"/>
  <c r="H33" i="9" s="1"/>
  <c r="G27" i="9"/>
  <c r="G33" i="9" s="1"/>
  <c r="F27" i="9"/>
  <c r="F33" i="9" s="1"/>
  <c r="E27" i="9"/>
  <c r="E33" i="9" s="1"/>
  <c r="D27" i="9"/>
  <c r="D33" i="9" s="1"/>
  <c r="C31" i="9"/>
  <c r="C30" i="9"/>
  <c r="C29" i="9"/>
  <c r="C35" i="9" s="1"/>
  <c r="C28" i="9"/>
  <c r="C34" i="9" s="1"/>
  <c r="C27" i="9"/>
  <c r="C33" i="9" s="1"/>
  <c r="B2" i="9"/>
  <c r="L3" i="9"/>
  <c r="K3" i="9"/>
  <c r="J3" i="9"/>
  <c r="I3" i="9"/>
  <c r="H3" i="9"/>
  <c r="G3" i="9"/>
  <c r="F3" i="9"/>
  <c r="E3" i="9"/>
  <c r="D3" i="9"/>
  <c r="C3" i="9"/>
  <c r="N13" i="10" l="1"/>
  <c r="N12" i="10"/>
  <c r="N11" i="10"/>
  <c r="N10" i="10"/>
  <c r="N6" i="10"/>
  <c r="O6" i="10" s="1"/>
  <c r="N14" i="10"/>
  <c r="N9" i="10"/>
  <c r="O10" i="10" s="1"/>
  <c r="N8" i="10"/>
  <c r="O8" i="10" s="1"/>
  <c r="N7" i="10"/>
  <c r="L16" i="10"/>
  <c r="O15" i="10"/>
  <c r="O14" i="10"/>
  <c r="O12" i="10"/>
  <c r="I14" i="10"/>
  <c r="I13" i="10"/>
  <c r="I12" i="10"/>
  <c r="I11" i="10"/>
  <c r="I10" i="10"/>
  <c r="I9" i="10"/>
  <c r="I8" i="10"/>
  <c r="I7" i="10"/>
  <c r="I6" i="10"/>
  <c r="J12" i="10"/>
  <c r="J10" i="10"/>
  <c r="J14" i="10"/>
  <c r="G16" i="10"/>
  <c r="D14" i="10"/>
  <c r="D13" i="10"/>
  <c r="D12" i="10"/>
  <c r="D11" i="10"/>
  <c r="D10" i="10"/>
  <c r="D9" i="10"/>
  <c r="D8" i="10"/>
  <c r="E8" i="10" s="1"/>
  <c r="N34" i="9"/>
  <c r="O33" i="9"/>
  <c r="O35" i="9"/>
  <c r="N31" i="9"/>
  <c r="N35" i="9"/>
  <c r="O30" i="9"/>
  <c r="O31" i="9"/>
  <c r="N33" i="9"/>
  <c r="N27" i="9"/>
  <c r="O34" i="9"/>
  <c r="N30" i="9"/>
  <c r="N29" i="9"/>
  <c r="N28" i="9"/>
  <c r="O29" i="9"/>
  <c r="O28" i="9"/>
  <c r="O27" i="9"/>
  <c r="C36" i="9"/>
  <c r="G36" i="9"/>
  <c r="L36" i="9"/>
  <c r="D36" i="9"/>
  <c r="K36" i="9"/>
  <c r="J36" i="9"/>
  <c r="H36" i="9"/>
  <c r="F36" i="9"/>
  <c r="I36" i="9"/>
  <c r="E36" i="9"/>
  <c r="B2" i="7"/>
  <c r="C48" i="7"/>
  <c r="D107" i="7"/>
  <c r="E107" i="7"/>
  <c r="E109" i="7" s="1"/>
  <c r="F107" i="7"/>
  <c r="F109" i="7" s="1"/>
  <c r="G107" i="7"/>
  <c r="G109" i="7" s="1"/>
  <c r="H107" i="7"/>
  <c r="I107" i="7"/>
  <c r="J107" i="7"/>
  <c r="K107" i="7"/>
  <c r="L107" i="7"/>
  <c r="M107" i="7"/>
  <c r="C107" i="7"/>
  <c r="D100" i="7"/>
  <c r="E100" i="7"/>
  <c r="F100" i="7"/>
  <c r="G100" i="7"/>
  <c r="H100" i="7"/>
  <c r="I100" i="7"/>
  <c r="J100" i="7"/>
  <c r="K100" i="7"/>
  <c r="L100" i="7"/>
  <c r="M100" i="7"/>
  <c r="D101" i="7"/>
  <c r="E101" i="7"/>
  <c r="F101" i="7"/>
  <c r="G101" i="7"/>
  <c r="H101" i="7"/>
  <c r="I101" i="7"/>
  <c r="J101" i="7"/>
  <c r="K101" i="7"/>
  <c r="L101" i="7"/>
  <c r="M101" i="7"/>
  <c r="D102" i="7"/>
  <c r="E102" i="7"/>
  <c r="F102" i="7"/>
  <c r="G102" i="7"/>
  <c r="H102" i="7"/>
  <c r="I102" i="7"/>
  <c r="J102" i="7"/>
  <c r="K102" i="7"/>
  <c r="L102" i="7"/>
  <c r="M102" i="7"/>
  <c r="D103" i="7"/>
  <c r="E103" i="7"/>
  <c r="F103" i="7"/>
  <c r="G103" i="7"/>
  <c r="H103" i="7"/>
  <c r="I103" i="7"/>
  <c r="J103" i="7"/>
  <c r="K103" i="7"/>
  <c r="L103" i="7"/>
  <c r="M103" i="7"/>
  <c r="D104" i="7"/>
  <c r="E104" i="7"/>
  <c r="F104" i="7"/>
  <c r="G104" i="7"/>
  <c r="H104" i="7"/>
  <c r="I104" i="7"/>
  <c r="J104" i="7"/>
  <c r="K104" i="7"/>
  <c r="L104" i="7"/>
  <c r="M104" i="7"/>
  <c r="D105" i="7"/>
  <c r="E105" i="7"/>
  <c r="F105" i="7"/>
  <c r="G105" i="7"/>
  <c r="H105" i="7"/>
  <c r="I105" i="7"/>
  <c r="J105" i="7"/>
  <c r="K105" i="7"/>
  <c r="L105" i="7"/>
  <c r="M105" i="7"/>
  <c r="D106" i="7"/>
  <c r="E106" i="7"/>
  <c r="F106" i="7"/>
  <c r="G106" i="7"/>
  <c r="H106" i="7"/>
  <c r="I106" i="7"/>
  <c r="J106" i="7"/>
  <c r="K106" i="7"/>
  <c r="L106" i="7"/>
  <c r="M106" i="7"/>
  <c r="C101" i="7"/>
  <c r="C102" i="7"/>
  <c r="C103" i="7"/>
  <c r="C104" i="7"/>
  <c r="C105" i="7"/>
  <c r="C106" i="7"/>
  <c r="C100" i="7"/>
  <c r="D97" i="7"/>
  <c r="E97" i="7"/>
  <c r="F97" i="7"/>
  <c r="G97" i="7"/>
  <c r="H97" i="7"/>
  <c r="I97" i="7"/>
  <c r="J97" i="7"/>
  <c r="K97" i="7"/>
  <c r="L97" i="7"/>
  <c r="M97" i="7"/>
  <c r="C97" i="7"/>
  <c r="D86" i="7"/>
  <c r="E86" i="7"/>
  <c r="F86" i="7"/>
  <c r="G86" i="7"/>
  <c r="H86" i="7"/>
  <c r="I86" i="7"/>
  <c r="J86" i="7"/>
  <c r="K86" i="7"/>
  <c r="L86" i="7"/>
  <c r="M86" i="7"/>
  <c r="D87" i="7"/>
  <c r="E87" i="7"/>
  <c r="F87" i="7"/>
  <c r="G87" i="7"/>
  <c r="H87" i="7"/>
  <c r="I87" i="7"/>
  <c r="J87" i="7"/>
  <c r="K87" i="7"/>
  <c r="L87" i="7"/>
  <c r="M87" i="7"/>
  <c r="D88" i="7"/>
  <c r="E88" i="7"/>
  <c r="F88" i="7"/>
  <c r="G88" i="7"/>
  <c r="H88" i="7"/>
  <c r="I88" i="7"/>
  <c r="J88" i="7"/>
  <c r="K88" i="7"/>
  <c r="L88" i="7"/>
  <c r="M88" i="7"/>
  <c r="D89" i="7"/>
  <c r="E89" i="7"/>
  <c r="F89" i="7"/>
  <c r="G89" i="7"/>
  <c r="H89" i="7"/>
  <c r="I89" i="7"/>
  <c r="J89" i="7"/>
  <c r="K89" i="7"/>
  <c r="L89" i="7"/>
  <c r="M89" i="7"/>
  <c r="D90" i="7"/>
  <c r="E90" i="7"/>
  <c r="F90" i="7"/>
  <c r="G90" i="7"/>
  <c r="H90" i="7"/>
  <c r="I90" i="7"/>
  <c r="J90" i="7"/>
  <c r="K90" i="7"/>
  <c r="L90" i="7"/>
  <c r="M90" i="7"/>
  <c r="D91" i="7"/>
  <c r="E91" i="7"/>
  <c r="F91" i="7"/>
  <c r="G91" i="7"/>
  <c r="H91" i="7"/>
  <c r="I91" i="7"/>
  <c r="J91" i="7"/>
  <c r="K91" i="7"/>
  <c r="L91" i="7"/>
  <c r="M91" i="7"/>
  <c r="D92" i="7"/>
  <c r="E92" i="7"/>
  <c r="F92" i="7"/>
  <c r="G92" i="7"/>
  <c r="H92" i="7"/>
  <c r="I92" i="7"/>
  <c r="J92" i="7"/>
  <c r="K92" i="7"/>
  <c r="L92" i="7"/>
  <c r="M92" i="7"/>
  <c r="D93" i="7"/>
  <c r="E93" i="7"/>
  <c r="F93" i="7"/>
  <c r="G93" i="7"/>
  <c r="H93" i="7"/>
  <c r="I93" i="7"/>
  <c r="J93" i="7"/>
  <c r="K93" i="7"/>
  <c r="L93" i="7"/>
  <c r="M93" i="7"/>
  <c r="D94" i="7"/>
  <c r="E94" i="7"/>
  <c r="F94" i="7"/>
  <c r="G94" i="7"/>
  <c r="H94" i="7"/>
  <c r="I94" i="7"/>
  <c r="J94" i="7"/>
  <c r="K94" i="7"/>
  <c r="L94" i="7"/>
  <c r="M94" i="7"/>
  <c r="D95" i="7"/>
  <c r="E95" i="7"/>
  <c r="F95" i="7"/>
  <c r="G95" i="7"/>
  <c r="H95" i="7"/>
  <c r="I95" i="7"/>
  <c r="J95" i="7"/>
  <c r="K95" i="7"/>
  <c r="L95" i="7"/>
  <c r="M95" i="7"/>
  <c r="D96" i="7"/>
  <c r="E96" i="7"/>
  <c r="F96" i="7"/>
  <c r="G96" i="7"/>
  <c r="H96" i="7"/>
  <c r="I96" i="7"/>
  <c r="J96" i="7"/>
  <c r="K96" i="7"/>
  <c r="L96" i="7"/>
  <c r="M96" i="7"/>
  <c r="C87" i="7"/>
  <c r="C88" i="7"/>
  <c r="C89" i="7"/>
  <c r="C90" i="7"/>
  <c r="C91" i="7"/>
  <c r="C92" i="7"/>
  <c r="C93" i="7"/>
  <c r="C94" i="7"/>
  <c r="C95" i="7"/>
  <c r="C96" i="7"/>
  <c r="C86" i="7"/>
  <c r="D83" i="7"/>
  <c r="E83" i="7"/>
  <c r="F83" i="7"/>
  <c r="G83" i="7"/>
  <c r="H83" i="7"/>
  <c r="I83" i="7"/>
  <c r="I109" i="7" s="1"/>
  <c r="J83" i="7"/>
  <c r="K83" i="7"/>
  <c r="L83" i="7"/>
  <c r="M83" i="7"/>
  <c r="M109" i="7" s="1"/>
  <c r="C83" i="7"/>
  <c r="C73" i="7"/>
  <c r="D73" i="7"/>
  <c r="E73" i="7"/>
  <c r="F73" i="7"/>
  <c r="G73" i="7"/>
  <c r="H73" i="7"/>
  <c r="I73" i="7"/>
  <c r="J73" i="7"/>
  <c r="K73" i="7"/>
  <c r="L73" i="7"/>
  <c r="M73" i="7"/>
  <c r="C74" i="7"/>
  <c r="D74" i="7"/>
  <c r="E74" i="7"/>
  <c r="F74" i="7"/>
  <c r="G74" i="7"/>
  <c r="H74" i="7"/>
  <c r="I74" i="7"/>
  <c r="J74" i="7"/>
  <c r="K74" i="7"/>
  <c r="L74" i="7"/>
  <c r="M74" i="7"/>
  <c r="C75" i="7"/>
  <c r="D75" i="7"/>
  <c r="E75" i="7"/>
  <c r="F75" i="7"/>
  <c r="G75" i="7"/>
  <c r="H75" i="7"/>
  <c r="I75" i="7"/>
  <c r="J75" i="7"/>
  <c r="K75" i="7"/>
  <c r="L75" i="7"/>
  <c r="M75" i="7"/>
  <c r="C76" i="7"/>
  <c r="D76" i="7"/>
  <c r="E76" i="7"/>
  <c r="F76" i="7"/>
  <c r="G76" i="7"/>
  <c r="H76" i="7"/>
  <c r="I76" i="7"/>
  <c r="J76" i="7"/>
  <c r="K76" i="7"/>
  <c r="L76" i="7"/>
  <c r="M76" i="7"/>
  <c r="C77" i="7"/>
  <c r="D77" i="7"/>
  <c r="E77" i="7"/>
  <c r="F77" i="7"/>
  <c r="G77" i="7"/>
  <c r="H77" i="7"/>
  <c r="I77" i="7"/>
  <c r="J77" i="7"/>
  <c r="K77" i="7"/>
  <c r="L77" i="7"/>
  <c r="M77" i="7"/>
  <c r="C78" i="7"/>
  <c r="D78" i="7"/>
  <c r="E78" i="7"/>
  <c r="F78" i="7"/>
  <c r="G78" i="7"/>
  <c r="H78" i="7"/>
  <c r="I78" i="7"/>
  <c r="J78" i="7"/>
  <c r="K78" i="7"/>
  <c r="L78" i="7"/>
  <c r="M78" i="7"/>
  <c r="C79" i="7"/>
  <c r="D79" i="7"/>
  <c r="E79" i="7"/>
  <c r="F79" i="7"/>
  <c r="G79" i="7"/>
  <c r="H79" i="7"/>
  <c r="I79" i="7"/>
  <c r="J79" i="7"/>
  <c r="K79" i="7"/>
  <c r="L79" i="7"/>
  <c r="M79" i="7"/>
  <c r="C80" i="7"/>
  <c r="D80" i="7"/>
  <c r="E80" i="7"/>
  <c r="F80" i="7"/>
  <c r="G80" i="7"/>
  <c r="H80" i="7"/>
  <c r="I80" i="7"/>
  <c r="J80" i="7"/>
  <c r="K80" i="7"/>
  <c r="L80" i="7"/>
  <c r="M80" i="7"/>
  <c r="C81" i="7"/>
  <c r="D81" i="7"/>
  <c r="E81" i="7"/>
  <c r="F81" i="7"/>
  <c r="G81" i="7"/>
  <c r="H81" i="7"/>
  <c r="I81" i="7"/>
  <c r="J81" i="7"/>
  <c r="K81" i="7"/>
  <c r="L81" i="7"/>
  <c r="M81" i="7"/>
  <c r="C82" i="7"/>
  <c r="D82" i="7"/>
  <c r="E82" i="7"/>
  <c r="F82" i="7"/>
  <c r="G82" i="7"/>
  <c r="H82" i="7"/>
  <c r="I82" i="7"/>
  <c r="J82" i="7"/>
  <c r="K82" i="7"/>
  <c r="L82" i="7"/>
  <c r="M82" i="7"/>
  <c r="D72" i="7"/>
  <c r="E72" i="7"/>
  <c r="F72" i="7"/>
  <c r="G72" i="7"/>
  <c r="H72" i="7"/>
  <c r="I72" i="7"/>
  <c r="J72" i="7"/>
  <c r="K72" i="7"/>
  <c r="L72" i="7"/>
  <c r="M72" i="7"/>
  <c r="C72" i="7"/>
  <c r="D58" i="7"/>
  <c r="E58" i="7"/>
  <c r="F58" i="7"/>
  <c r="G58" i="7"/>
  <c r="H58" i="7"/>
  <c r="I58" i="7"/>
  <c r="J58" i="7"/>
  <c r="K58" i="7"/>
  <c r="L58" i="7"/>
  <c r="M58" i="7"/>
  <c r="C58" i="7"/>
  <c r="D57" i="7"/>
  <c r="E57" i="7"/>
  <c r="F57" i="7"/>
  <c r="G57" i="7"/>
  <c r="H57" i="7"/>
  <c r="I57" i="7"/>
  <c r="J57" i="7"/>
  <c r="K57" i="7"/>
  <c r="L57" i="7"/>
  <c r="M57" i="7"/>
  <c r="C57" i="7"/>
  <c r="E65" i="7"/>
  <c r="E67" i="7" s="1"/>
  <c r="C60" i="7"/>
  <c r="D63" i="7"/>
  <c r="E63" i="7"/>
  <c r="F63" i="7"/>
  <c r="G63" i="7"/>
  <c r="H63" i="7"/>
  <c r="I63" i="7"/>
  <c r="J63" i="7"/>
  <c r="K63" i="7"/>
  <c r="L63" i="7"/>
  <c r="M63" i="7"/>
  <c r="C63" i="7"/>
  <c r="D60" i="7"/>
  <c r="E60" i="7"/>
  <c r="F60" i="7"/>
  <c r="G60" i="7"/>
  <c r="H60" i="7"/>
  <c r="I60" i="7"/>
  <c r="J60" i="7"/>
  <c r="K60" i="7"/>
  <c r="L60" i="7"/>
  <c r="M60" i="7"/>
  <c r="D61" i="7"/>
  <c r="E61" i="7"/>
  <c r="F61" i="7"/>
  <c r="G61" i="7"/>
  <c r="H61" i="7"/>
  <c r="I61" i="7"/>
  <c r="J61" i="7"/>
  <c r="K61" i="7"/>
  <c r="L61" i="7"/>
  <c r="M61" i="7"/>
  <c r="D62" i="7"/>
  <c r="E62" i="7"/>
  <c r="F62" i="7"/>
  <c r="G62" i="7"/>
  <c r="H62" i="7"/>
  <c r="I62" i="7"/>
  <c r="J62" i="7"/>
  <c r="K62" i="7"/>
  <c r="L62" i="7"/>
  <c r="M62" i="7"/>
  <c r="C61" i="7"/>
  <c r="C62" i="7"/>
  <c r="D54" i="7"/>
  <c r="E54" i="7"/>
  <c r="F54" i="7"/>
  <c r="G54" i="7"/>
  <c r="H54" i="7"/>
  <c r="I54" i="7"/>
  <c r="J54" i="7"/>
  <c r="K54" i="7"/>
  <c r="L54" i="7"/>
  <c r="M54" i="7"/>
  <c r="D55" i="7"/>
  <c r="E55" i="7"/>
  <c r="F55" i="7"/>
  <c r="G55" i="7"/>
  <c r="H55" i="7"/>
  <c r="I55" i="7"/>
  <c r="J55" i="7"/>
  <c r="K55" i="7"/>
  <c r="L55" i="7"/>
  <c r="M55" i="7"/>
  <c r="D56" i="7"/>
  <c r="E56" i="7"/>
  <c r="F56" i="7"/>
  <c r="G56" i="7"/>
  <c r="H56" i="7"/>
  <c r="I56" i="7"/>
  <c r="J56" i="7"/>
  <c r="K56" i="7"/>
  <c r="L56" i="7"/>
  <c r="M56" i="7"/>
  <c r="C55" i="7"/>
  <c r="C56" i="7"/>
  <c r="C54" i="7"/>
  <c r="C49" i="7"/>
  <c r="D49" i="7"/>
  <c r="E49" i="7"/>
  <c r="F49" i="7"/>
  <c r="G49" i="7"/>
  <c r="H49" i="7"/>
  <c r="I49" i="7"/>
  <c r="J49" i="7"/>
  <c r="K49" i="7"/>
  <c r="L49" i="7"/>
  <c r="M49" i="7"/>
  <c r="C50" i="7"/>
  <c r="D50" i="7"/>
  <c r="E50" i="7"/>
  <c r="F50" i="7"/>
  <c r="G50" i="7"/>
  <c r="H50" i="7"/>
  <c r="I50" i="7"/>
  <c r="J50" i="7"/>
  <c r="K50" i="7"/>
  <c r="L50" i="7"/>
  <c r="M50" i="7"/>
  <c r="C51" i="7"/>
  <c r="D51" i="7"/>
  <c r="E51" i="7"/>
  <c r="F51" i="7"/>
  <c r="G51" i="7"/>
  <c r="H51" i="7"/>
  <c r="I51" i="7"/>
  <c r="J51" i="7"/>
  <c r="K51" i="7"/>
  <c r="L51" i="7"/>
  <c r="M51" i="7"/>
  <c r="C52" i="7"/>
  <c r="D52" i="7"/>
  <c r="E52" i="7"/>
  <c r="F52" i="7"/>
  <c r="G52" i="7"/>
  <c r="H52" i="7"/>
  <c r="I52" i="7"/>
  <c r="J52" i="7"/>
  <c r="K52" i="7"/>
  <c r="L52" i="7"/>
  <c r="M52" i="7"/>
  <c r="D48" i="7"/>
  <c r="E48" i="7"/>
  <c r="F48" i="7"/>
  <c r="G48" i="7"/>
  <c r="H48" i="7"/>
  <c r="I48" i="7"/>
  <c r="J48" i="7"/>
  <c r="K48" i="7"/>
  <c r="L48" i="7"/>
  <c r="M48" i="7"/>
  <c r="M41" i="7"/>
  <c r="D36" i="7"/>
  <c r="D41" i="7" s="1"/>
  <c r="D9" i="9" s="1"/>
  <c r="E36" i="7"/>
  <c r="E41" i="7" s="1"/>
  <c r="E9" i="9" s="1"/>
  <c r="F36" i="7"/>
  <c r="F41" i="7" s="1"/>
  <c r="G36" i="7"/>
  <c r="G41" i="7" s="1"/>
  <c r="G9" i="9" s="1"/>
  <c r="H36" i="7"/>
  <c r="H41" i="7" s="1"/>
  <c r="I36" i="7"/>
  <c r="I41" i="7" s="1"/>
  <c r="I9" i="9" s="1"/>
  <c r="J36" i="7"/>
  <c r="J41" i="7" s="1"/>
  <c r="J9" i="9" s="1"/>
  <c r="K36" i="7"/>
  <c r="K41" i="7" s="1"/>
  <c r="K9" i="9" s="1"/>
  <c r="L36" i="7"/>
  <c r="L41" i="7" s="1"/>
  <c r="L9" i="9" s="1"/>
  <c r="M36" i="7"/>
  <c r="C36" i="7"/>
  <c r="C41" i="7" s="1"/>
  <c r="M33" i="7"/>
  <c r="M38" i="7" s="1"/>
  <c r="M44" i="7" s="1"/>
  <c r="M30" i="7"/>
  <c r="D30" i="7"/>
  <c r="E30" i="7"/>
  <c r="F30" i="7"/>
  <c r="G30" i="7"/>
  <c r="H30" i="7"/>
  <c r="I30" i="7"/>
  <c r="J30" i="7"/>
  <c r="K30" i="7"/>
  <c r="L30" i="7"/>
  <c r="C30" i="7"/>
  <c r="M24" i="7"/>
  <c r="D24" i="7"/>
  <c r="E24" i="7"/>
  <c r="F24" i="7"/>
  <c r="G24" i="7"/>
  <c r="H24" i="7"/>
  <c r="I24" i="7"/>
  <c r="J24" i="7"/>
  <c r="K24" i="7"/>
  <c r="L24" i="7"/>
  <c r="C24" i="7"/>
  <c r="M21" i="7"/>
  <c r="D21" i="7"/>
  <c r="E21" i="7"/>
  <c r="F21" i="7"/>
  <c r="G21" i="7"/>
  <c r="H21" i="7"/>
  <c r="I21" i="7"/>
  <c r="J21" i="7"/>
  <c r="K21" i="7"/>
  <c r="L21" i="7"/>
  <c r="C21" i="7"/>
  <c r="D15" i="7"/>
  <c r="E15" i="7"/>
  <c r="F15" i="7"/>
  <c r="G15" i="7"/>
  <c r="H15" i="7"/>
  <c r="I15" i="7"/>
  <c r="J15" i="7"/>
  <c r="K15" i="7"/>
  <c r="L15" i="7"/>
  <c r="M15" i="7"/>
  <c r="C15" i="7"/>
  <c r="M9" i="7"/>
  <c r="D9" i="7"/>
  <c r="E9" i="7"/>
  <c r="F9" i="7"/>
  <c r="G9" i="7"/>
  <c r="H9" i="7"/>
  <c r="I9" i="7"/>
  <c r="J9" i="7"/>
  <c r="K9" i="7"/>
  <c r="L9" i="7"/>
  <c r="C9" i="7"/>
  <c r="M6" i="7"/>
  <c r="C3" i="7"/>
  <c r="D3" i="7"/>
  <c r="E3" i="7"/>
  <c r="F3" i="7"/>
  <c r="G3" i="7"/>
  <c r="H3" i="7"/>
  <c r="I3" i="7"/>
  <c r="J3" i="7"/>
  <c r="K3" i="7"/>
  <c r="L3" i="7"/>
  <c r="D6" i="7"/>
  <c r="E6" i="7"/>
  <c r="F6" i="7"/>
  <c r="G6" i="7"/>
  <c r="H6" i="7"/>
  <c r="H7" i="7" s="1"/>
  <c r="H5" i="9" s="1"/>
  <c r="I6" i="7"/>
  <c r="I7" i="7" s="1"/>
  <c r="I5" i="9" s="1"/>
  <c r="J6" i="7"/>
  <c r="K6" i="7"/>
  <c r="L6" i="7"/>
  <c r="C6" i="7"/>
  <c r="B6" i="6"/>
  <c r="E1" i="6"/>
  <c r="O16" i="10" l="1"/>
  <c r="L17" i="10"/>
  <c r="O11" i="10"/>
  <c r="O9" i="10"/>
  <c r="O7" i="10"/>
  <c r="O13" i="10"/>
  <c r="E11" i="10"/>
  <c r="E12" i="10"/>
  <c r="E14" i="10"/>
  <c r="J15" i="10"/>
  <c r="E13" i="10"/>
  <c r="D16" i="10"/>
  <c r="E16" i="10" s="1"/>
  <c r="J11" i="10"/>
  <c r="D17" i="10"/>
  <c r="E17" i="10" s="1"/>
  <c r="E10" i="10"/>
  <c r="D18" i="10"/>
  <c r="E9" i="10"/>
  <c r="J9" i="10"/>
  <c r="D15" i="10"/>
  <c r="E15" i="10" s="1"/>
  <c r="J8" i="10"/>
  <c r="D19" i="10"/>
  <c r="J7" i="10"/>
  <c r="J16" i="10"/>
  <c r="G17" i="10"/>
  <c r="J13" i="10"/>
  <c r="C65" i="7"/>
  <c r="C67" i="7" s="1"/>
  <c r="F65" i="7"/>
  <c r="F67" i="7" s="1"/>
  <c r="F9" i="9"/>
  <c r="H9" i="9"/>
  <c r="O9" i="9" s="1"/>
  <c r="M65" i="7"/>
  <c r="M67" i="7" s="1"/>
  <c r="O36" i="9"/>
  <c r="N36" i="9"/>
  <c r="L65" i="7"/>
  <c r="L67" i="7" s="1"/>
  <c r="K65" i="7"/>
  <c r="K67" i="7" s="1"/>
  <c r="J65" i="7"/>
  <c r="J67" i="7" s="1"/>
  <c r="I65" i="7"/>
  <c r="I67" i="7" s="1"/>
  <c r="H65" i="7"/>
  <c r="H67" i="7" s="1"/>
  <c r="G65" i="7"/>
  <c r="G67" i="7" s="1"/>
  <c r="D65" i="7"/>
  <c r="D67" i="7" s="1"/>
  <c r="D38" i="9"/>
  <c r="D40" i="9"/>
  <c r="C40" i="9"/>
  <c r="C39" i="9"/>
  <c r="C38" i="9"/>
  <c r="K38" i="9"/>
  <c r="K40" i="9"/>
  <c r="J40" i="9"/>
  <c r="J38" i="9"/>
  <c r="K109" i="7"/>
  <c r="G40" i="9"/>
  <c r="G38" i="9"/>
  <c r="F38" i="9"/>
  <c r="F39" i="9"/>
  <c r="F40" i="9"/>
  <c r="D109" i="7"/>
  <c r="L39" i="9"/>
  <c r="L40" i="9"/>
  <c r="L38" i="9"/>
  <c r="C109" i="7"/>
  <c r="I38" i="9"/>
  <c r="I40" i="9"/>
  <c r="L109" i="7"/>
  <c r="H38" i="9"/>
  <c r="H40" i="9"/>
  <c r="J109" i="7"/>
  <c r="E39" i="9"/>
  <c r="E40" i="9"/>
  <c r="E38" i="9"/>
  <c r="H109" i="7"/>
  <c r="M42" i="7"/>
  <c r="C10" i="7"/>
  <c r="L12" i="7"/>
  <c r="L18" i="7" s="1"/>
  <c r="L27" i="7" s="1"/>
  <c r="E25" i="7"/>
  <c r="E18" i="9" s="1"/>
  <c r="J7" i="7"/>
  <c r="J5" i="9" s="1"/>
  <c r="L25" i="7"/>
  <c r="L18" i="9" s="1"/>
  <c r="K25" i="7"/>
  <c r="K18" i="9" s="1"/>
  <c r="J25" i="7"/>
  <c r="J18" i="9" s="1"/>
  <c r="F12" i="7"/>
  <c r="I25" i="7"/>
  <c r="I18" i="9" s="1"/>
  <c r="K7" i="7"/>
  <c r="K5" i="9" s="1"/>
  <c r="H25" i="7"/>
  <c r="H18" i="9" s="1"/>
  <c r="G25" i="7"/>
  <c r="G18" i="9" s="1"/>
  <c r="H10" i="7"/>
  <c r="L22" i="7"/>
  <c r="J22" i="7"/>
  <c r="M34" i="7"/>
  <c r="J16" i="7"/>
  <c r="J17" i="9" s="1"/>
  <c r="G10" i="7"/>
  <c r="E22" i="7"/>
  <c r="K22" i="7"/>
  <c r="I22" i="7"/>
  <c r="H22" i="7"/>
  <c r="I10" i="7"/>
  <c r="G22" i="7"/>
  <c r="M16" i="7"/>
  <c r="D7" i="7"/>
  <c r="D5" i="9" s="1"/>
  <c r="L7" i="7"/>
  <c r="L5" i="9" s="1"/>
  <c r="E16" i="7"/>
  <c r="E17" i="9" s="1"/>
  <c r="M7" i="7"/>
  <c r="F10" i="7"/>
  <c r="E10" i="7"/>
  <c r="F22" i="7"/>
  <c r="F25" i="7"/>
  <c r="F18" i="9" s="1"/>
  <c r="K12" i="7"/>
  <c r="D10" i="7"/>
  <c r="J12" i="7"/>
  <c r="G7" i="7"/>
  <c r="G5" i="9" s="1"/>
  <c r="M10" i="7"/>
  <c r="D22" i="7"/>
  <c r="D25" i="7"/>
  <c r="D18" i="9" s="1"/>
  <c r="F7" i="7"/>
  <c r="F5" i="9" s="1"/>
  <c r="C16" i="7"/>
  <c r="C17" i="9" s="1"/>
  <c r="M22" i="7"/>
  <c r="M25" i="7"/>
  <c r="C25" i="7"/>
  <c r="C18" i="9" s="1"/>
  <c r="D12" i="7"/>
  <c r="D16" i="7"/>
  <c r="D17" i="9" s="1"/>
  <c r="C22" i="7"/>
  <c r="L16" i="7"/>
  <c r="L17" i="9" s="1"/>
  <c r="I12" i="7"/>
  <c r="H12" i="7"/>
  <c r="H16" i="7"/>
  <c r="H17" i="9" s="1"/>
  <c r="G12" i="7"/>
  <c r="F16" i="7"/>
  <c r="F17" i="9" s="1"/>
  <c r="E7" i="7"/>
  <c r="E5" i="9" s="1"/>
  <c r="J10" i="7"/>
  <c r="E12" i="7"/>
  <c r="C12" i="7"/>
  <c r="L10" i="7"/>
  <c r="I16" i="7"/>
  <c r="I17" i="9" s="1"/>
  <c r="K10" i="7"/>
  <c r="K16" i="7"/>
  <c r="K17" i="9" s="1"/>
  <c r="G16" i="7"/>
  <c r="G17" i="9" s="1"/>
  <c r="M12" i="7"/>
  <c r="L18" i="10" l="1"/>
  <c r="O17" i="10"/>
  <c r="E18" i="10"/>
  <c r="E19" i="10"/>
  <c r="G18" i="10"/>
  <c r="J17" i="10"/>
  <c r="K39" i="9"/>
  <c r="J39" i="9"/>
  <c r="L13" i="7"/>
  <c r="L11" i="9" s="1"/>
  <c r="O18" i="9"/>
  <c r="N18" i="9"/>
  <c r="O17" i="9"/>
  <c r="N17" i="9"/>
  <c r="L31" i="7"/>
  <c r="O5" i="9"/>
  <c r="N5" i="9"/>
  <c r="L19" i="7"/>
  <c r="L12" i="9" s="1"/>
  <c r="L6" i="9"/>
  <c r="L21" i="9"/>
  <c r="L13" i="9"/>
  <c r="L19" i="9" s="1"/>
  <c r="L25" i="9"/>
  <c r="N9" i="9"/>
  <c r="H39" i="9"/>
  <c r="I39" i="9"/>
  <c r="G39" i="9"/>
  <c r="D39" i="9"/>
  <c r="O38" i="9"/>
  <c r="N38" i="9"/>
  <c r="N39" i="9"/>
  <c r="O39" i="9"/>
  <c r="O40" i="9"/>
  <c r="N40" i="9"/>
  <c r="F18" i="7"/>
  <c r="F13" i="7"/>
  <c r="F11" i="9" s="1"/>
  <c r="C18" i="7"/>
  <c r="C13" i="7"/>
  <c r="C11" i="9" s="1"/>
  <c r="J18" i="7"/>
  <c r="J13" i="7"/>
  <c r="J11" i="9" s="1"/>
  <c r="D18" i="7"/>
  <c r="D13" i="7"/>
  <c r="D11" i="9" s="1"/>
  <c r="K18" i="7"/>
  <c r="K13" i="7"/>
  <c r="K11" i="9" s="1"/>
  <c r="E18" i="7"/>
  <c r="E13" i="7"/>
  <c r="E11" i="9" s="1"/>
  <c r="G18" i="7"/>
  <c r="G13" i="7"/>
  <c r="G11" i="9" s="1"/>
  <c r="M18" i="7"/>
  <c r="M13" i="7"/>
  <c r="L28" i="7"/>
  <c r="L14" i="9" s="1"/>
  <c r="L33" i="7"/>
  <c r="H18" i="7"/>
  <c r="H13" i="7"/>
  <c r="H11" i="9" s="1"/>
  <c r="I18" i="7"/>
  <c r="I13" i="7"/>
  <c r="I11" i="9" s="1"/>
  <c r="O18" i="10" l="1"/>
  <c r="L19" i="10"/>
  <c r="G19" i="10"/>
  <c r="J18" i="10"/>
  <c r="E13" i="9"/>
  <c r="E19" i="9" s="1"/>
  <c r="E25" i="9"/>
  <c r="E6" i="9"/>
  <c r="E21" i="9"/>
  <c r="I13" i="9"/>
  <c r="I19" i="9" s="1"/>
  <c r="I25" i="9"/>
  <c r="I6" i="9"/>
  <c r="I21" i="9"/>
  <c r="K25" i="9"/>
  <c r="K6" i="9"/>
  <c r="K21" i="9"/>
  <c r="K13" i="9"/>
  <c r="K19" i="9" s="1"/>
  <c r="H13" i="9"/>
  <c r="H19" i="9" s="1"/>
  <c r="H25" i="9"/>
  <c r="H6" i="9"/>
  <c r="H21" i="9"/>
  <c r="D21" i="9"/>
  <c r="D13" i="9"/>
  <c r="D19" i="9" s="1"/>
  <c r="D25" i="9"/>
  <c r="D6" i="9"/>
  <c r="L23" i="9"/>
  <c r="J25" i="9"/>
  <c r="J6" i="9"/>
  <c r="J21" i="9"/>
  <c r="J13" i="9"/>
  <c r="J19" i="9" s="1"/>
  <c r="N11" i="9"/>
  <c r="O11" i="9"/>
  <c r="C13" i="9"/>
  <c r="C21" i="9"/>
  <c r="C25" i="9"/>
  <c r="G13" i="9"/>
  <c r="G19" i="9" s="1"/>
  <c r="G25" i="9"/>
  <c r="G6" i="9"/>
  <c r="G21" i="9"/>
  <c r="F13" i="9"/>
  <c r="F19" i="9" s="1"/>
  <c r="F25" i="9"/>
  <c r="F6" i="9"/>
  <c r="F21" i="9"/>
  <c r="F19" i="7"/>
  <c r="F12" i="9" s="1"/>
  <c r="F27" i="7"/>
  <c r="G19" i="7"/>
  <c r="G12" i="9" s="1"/>
  <c r="G27" i="7"/>
  <c r="G7" i="9" s="1"/>
  <c r="E19" i="7"/>
  <c r="E12" i="9" s="1"/>
  <c r="E27" i="7"/>
  <c r="E7" i="9" s="1"/>
  <c r="I19" i="7"/>
  <c r="I12" i="9" s="1"/>
  <c r="I27" i="7"/>
  <c r="I7" i="9" s="1"/>
  <c r="K19" i="7"/>
  <c r="K12" i="9" s="1"/>
  <c r="K27" i="7"/>
  <c r="H19" i="7"/>
  <c r="H12" i="9" s="1"/>
  <c r="H27" i="7"/>
  <c r="D19" i="7"/>
  <c r="D12" i="9" s="1"/>
  <c r="D27" i="7"/>
  <c r="L34" i="7"/>
  <c r="L15" i="9" s="1"/>
  <c r="L38" i="7"/>
  <c r="J19" i="7"/>
  <c r="J12" i="9" s="1"/>
  <c r="J27" i="7"/>
  <c r="M19" i="7"/>
  <c r="M27" i="7"/>
  <c r="C19" i="7"/>
  <c r="C12" i="9" s="1"/>
  <c r="C27" i="7"/>
  <c r="O19" i="10" l="1"/>
  <c r="J19" i="10"/>
  <c r="D7" i="9"/>
  <c r="O12" i="9"/>
  <c r="N12" i="9"/>
  <c r="J7" i="9"/>
  <c r="N6" i="9"/>
  <c r="O6" i="9"/>
  <c r="O25" i="9"/>
  <c r="N25" i="9"/>
  <c r="N21" i="9"/>
  <c r="O21" i="9"/>
  <c r="F7" i="9"/>
  <c r="N7" i="9" s="1"/>
  <c r="C19" i="9"/>
  <c r="O13" i="9"/>
  <c r="N13" i="9"/>
  <c r="H7" i="9"/>
  <c r="K7" i="9"/>
  <c r="L7" i="9"/>
  <c r="M39" i="7"/>
  <c r="L44" i="7"/>
  <c r="L22" i="9" s="1"/>
  <c r="L24" i="9" s="1"/>
  <c r="L42" i="7"/>
  <c r="F33" i="7"/>
  <c r="F28" i="7"/>
  <c r="F14" i="9" s="1"/>
  <c r="F31" i="7"/>
  <c r="D28" i="7"/>
  <c r="D14" i="9" s="1"/>
  <c r="D33" i="7"/>
  <c r="D31" i="7"/>
  <c r="H33" i="7"/>
  <c r="H28" i="7"/>
  <c r="H14" i="9" s="1"/>
  <c r="H31" i="7"/>
  <c r="C31" i="7"/>
  <c r="C28" i="7"/>
  <c r="C14" i="9" s="1"/>
  <c r="C33" i="7"/>
  <c r="C23" i="9" s="1"/>
  <c r="K28" i="7"/>
  <c r="K14" i="9" s="1"/>
  <c r="K33" i="7"/>
  <c r="K31" i="7"/>
  <c r="M28" i="7"/>
  <c r="M31" i="7"/>
  <c r="I33" i="7"/>
  <c r="I28" i="7"/>
  <c r="I14" i="9" s="1"/>
  <c r="I31" i="7"/>
  <c r="J33" i="7"/>
  <c r="J28" i="7"/>
  <c r="J14" i="9" s="1"/>
  <c r="J31" i="7"/>
  <c r="E28" i="7"/>
  <c r="E14" i="9" s="1"/>
  <c r="E33" i="7"/>
  <c r="E31" i="7"/>
  <c r="G33" i="7"/>
  <c r="G28" i="7"/>
  <c r="G14" i="9" s="1"/>
  <c r="G31" i="7"/>
  <c r="G23" i="9" l="1"/>
  <c r="G8" i="9"/>
  <c r="K8" i="9"/>
  <c r="K23" i="9"/>
  <c r="L8" i="9"/>
  <c r="O7" i="9"/>
  <c r="E23" i="9"/>
  <c r="E8" i="9"/>
  <c r="F23" i="9"/>
  <c r="F8" i="9"/>
  <c r="O23" i="9"/>
  <c r="N23" i="9"/>
  <c r="O14" i="9"/>
  <c r="N14" i="9"/>
  <c r="J8" i="9"/>
  <c r="J23" i="9"/>
  <c r="H23" i="9"/>
  <c r="H8" i="9"/>
  <c r="I8" i="9"/>
  <c r="I23" i="9"/>
  <c r="D23" i="9"/>
  <c r="D8" i="9"/>
  <c r="O19" i="9"/>
  <c r="N19" i="9"/>
  <c r="F34" i="7"/>
  <c r="F15" i="9" s="1"/>
  <c r="F38" i="7"/>
  <c r="G34" i="7"/>
  <c r="G15" i="9" s="1"/>
  <c r="G38" i="7"/>
  <c r="K34" i="7"/>
  <c r="K15" i="9" s="1"/>
  <c r="K38" i="7"/>
  <c r="E38" i="7"/>
  <c r="E34" i="7"/>
  <c r="E15" i="9" s="1"/>
  <c r="C34" i="7"/>
  <c r="C15" i="9" s="1"/>
  <c r="C38" i="7"/>
  <c r="J38" i="7"/>
  <c r="J34" i="7"/>
  <c r="J15" i="9" s="1"/>
  <c r="H34" i="7"/>
  <c r="H15" i="9" s="1"/>
  <c r="H38" i="7"/>
  <c r="I34" i="7"/>
  <c r="I15" i="9" s="1"/>
  <c r="I38" i="7"/>
  <c r="D34" i="7"/>
  <c r="D15" i="9" s="1"/>
  <c r="D38" i="7"/>
  <c r="O8" i="9" l="1"/>
  <c r="N8" i="9"/>
  <c r="K24" i="9"/>
  <c r="O15" i="9"/>
  <c r="N15" i="9"/>
  <c r="J39" i="7"/>
  <c r="J42" i="7"/>
  <c r="J44" i="7" s="1"/>
  <c r="J22" i="9" s="1"/>
  <c r="J24" i="9" s="1"/>
  <c r="C42" i="7"/>
  <c r="C44" i="7" s="1"/>
  <c r="C22" i="9" s="1"/>
  <c r="E39" i="7"/>
  <c r="E42" i="7"/>
  <c r="E44" i="7" s="1"/>
  <c r="E22" i="9" s="1"/>
  <c r="E24" i="9" s="1"/>
  <c r="D39" i="7"/>
  <c r="D42" i="7"/>
  <c r="D44" i="7" s="1"/>
  <c r="D22" i="9" s="1"/>
  <c r="D24" i="9" s="1"/>
  <c r="K39" i="7"/>
  <c r="K44" i="7"/>
  <c r="K22" i="9" s="1"/>
  <c r="K42" i="7"/>
  <c r="L39" i="7"/>
  <c r="I39" i="7"/>
  <c r="I42" i="7"/>
  <c r="I44" i="7" s="1"/>
  <c r="I22" i="9" s="1"/>
  <c r="I24" i="9" s="1"/>
  <c r="G39" i="7"/>
  <c r="G42" i="7"/>
  <c r="G44" i="7" s="1"/>
  <c r="G22" i="9" s="1"/>
  <c r="G24" i="9" s="1"/>
  <c r="H39" i="7"/>
  <c r="H44" i="7"/>
  <c r="H22" i="9" s="1"/>
  <c r="H24" i="9" s="1"/>
  <c r="H42" i="7"/>
  <c r="F39" i="7"/>
  <c r="F42" i="7"/>
  <c r="F44" i="7" s="1"/>
  <c r="F22" i="9" s="1"/>
  <c r="F24" i="9" s="1"/>
  <c r="O22" i="9" l="1"/>
  <c r="N22" i="9"/>
  <c r="C24" i="9"/>
  <c r="O24" i="9" l="1"/>
  <c r="N24" i="9"/>
</calcChain>
</file>

<file path=xl/sharedStrings.xml><?xml version="1.0" encoding="utf-8"?>
<sst xmlns="http://schemas.openxmlformats.org/spreadsheetml/2006/main" count="231" uniqueCount="162">
  <si>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</si>
  <si>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</si>
  <si>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</si>
  <si>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</si>
  <si>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</si>
  <si>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</si>
  <si>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</si>
  <si>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</si>
  <si>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</si>
  <si>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</si>
  <si>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</si>
  <si>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</si>
  <si>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</si>
  <si>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</si>
  <si>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</si>
  <si>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</si>
  <si>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</si>
  <si>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</si>
  <si>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</si>
  <si>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</si>
  <si>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</si>
  <si>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</si>
  <si>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</si>
  <si>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</si>
  <si>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</si>
  <si>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</si>
  <si>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</si>
  <si>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</si>
  <si>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</si>
  <si>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</si>
  <si>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</si>
  <si>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</si>
  <si>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HINDUSTAN UNILEVER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</si>
  <si>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</si>
  <si>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</si>
  <si>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</si>
  <si>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</si>
  <si>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</si>
  <si>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</si>
  <si>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</si>
  <si>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</si>
  <si>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</si>
  <si>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</si>
  <si>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</si>
  <si>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</si>
  <si>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</si>
  <si>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</si>
  <si>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</si>
  <si>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</si>
  <si>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</si>
  <si>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</si>
  <si>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</si>
  <si>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</si>
  <si>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</si>
  <si>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 xml:space="preserve">Years </t>
  </si>
  <si>
    <t>Income Statement</t>
  </si>
  <si>
    <t>#</t>
  </si>
  <si>
    <t>LTM</t>
  </si>
  <si>
    <t xml:space="preserve">Sales Growth </t>
  </si>
  <si>
    <t>-</t>
  </si>
  <si>
    <t>COGS</t>
  </si>
  <si>
    <t>COGS % Sales</t>
  </si>
  <si>
    <t>Gross Profit</t>
  </si>
  <si>
    <t>Selling &amp; General Expenses</t>
  </si>
  <si>
    <t>EBITDA</t>
  </si>
  <si>
    <t>SG&amp;A Exp as a% of Sales</t>
  </si>
  <si>
    <t>EBITDA Margins</t>
  </si>
  <si>
    <t xml:space="preserve">Interest </t>
  </si>
  <si>
    <t xml:space="preserve">Interest as a % of Sales </t>
  </si>
  <si>
    <t xml:space="preserve">Depreciation as a % of Sales </t>
  </si>
  <si>
    <t>Gross Profit Margins</t>
  </si>
  <si>
    <t>EBT</t>
  </si>
  <si>
    <t>EBT % of Sales</t>
  </si>
  <si>
    <t>Effective Tax Rate</t>
  </si>
  <si>
    <t>Net Profit</t>
  </si>
  <si>
    <t>Net Margins</t>
  </si>
  <si>
    <t>No of Equity Shares</t>
  </si>
  <si>
    <t xml:space="preserve">Earnings Per Share </t>
  </si>
  <si>
    <t>Dividend Per Share</t>
  </si>
  <si>
    <t>EPS Growth %</t>
  </si>
  <si>
    <t xml:space="preserve">Dividend Payout Ratio </t>
  </si>
  <si>
    <t xml:space="preserve">Retained Earnings </t>
  </si>
  <si>
    <t>Balance Sheet</t>
  </si>
  <si>
    <t xml:space="preserve">Total Liabilities </t>
  </si>
  <si>
    <t xml:space="preserve">Fixed Assets Net Block </t>
  </si>
  <si>
    <t xml:space="preserve">Total Assets </t>
  </si>
  <si>
    <t xml:space="preserve">Total Non Current Assets </t>
  </si>
  <si>
    <t xml:space="preserve">Total Current Assets </t>
  </si>
  <si>
    <t>Balance Check</t>
  </si>
  <si>
    <t>Cash from Operating Activity -</t>
  </si>
  <si>
    <t>Profit from operations</t>
  </si>
  <si>
    <t>Payables</t>
  </si>
  <si>
    <t>Loans Advances</t>
  </si>
  <si>
    <t>Operating Deposits</t>
  </si>
  <si>
    <t>Other WC items</t>
  </si>
  <si>
    <t>Working capital changes</t>
  </si>
  <si>
    <t>Direct taxes</t>
  </si>
  <si>
    <t>Other operating items</t>
  </si>
  <si>
    <t>Exceptional CF items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</si>
  <si>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</si>
  <si>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</si>
  <si>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</si>
  <si>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</si>
  <si>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</si>
  <si>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</si>
  <si>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</si>
  <si>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</si>
  <si>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Loans to subsidiaries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</si>
  <si>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</si>
  <si>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</si>
  <si>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</si>
  <si>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</si>
  <si>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</si>
  <si>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</si>
  <si>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</si>
  <si>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</si>
  <si>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</si>
  <si>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</si>
  <si>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</si>
  <si>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Statement</t>
  </si>
  <si>
    <t>Cash From Operating Activities</t>
  </si>
  <si>
    <t>Operating Activities</t>
  </si>
  <si>
    <t xml:space="preserve">Investing Activities </t>
  </si>
  <si>
    <t>Cash From Investing Activities</t>
  </si>
  <si>
    <t>Financing Activities</t>
  </si>
  <si>
    <t>Cash From Financing Activities</t>
  </si>
  <si>
    <t xml:space="preserve">Net Cash Flow </t>
  </si>
  <si>
    <t>Sales Growth</t>
  </si>
  <si>
    <t xml:space="preserve">EBITDA Growth </t>
  </si>
  <si>
    <t xml:space="preserve">EBT Growth </t>
  </si>
  <si>
    <t>Net Profit Growth</t>
  </si>
  <si>
    <t xml:space="preserve">Dividend Growth </t>
  </si>
  <si>
    <t>Gross Margin</t>
  </si>
  <si>
    <t xml:space="preserve">EBITDA Margin </t>
  </si>
  <si>
    <t>EBT Margin</t>
  </si>
  <si>
    <t xml:space="preserve">EBIT Margin </t>
  </si>
  <si>
    <t xml:space="preserve">Net Profit Margin </t>
  </si>
  <si>
    <t>SalesExpenses%Sales</t>
  </si>
  <si>
    <t>Depreciation%Sales</t>
  </si>
  <si>
    <t>OperatingIncome%Sales</t>
  </si>
  <si>
    <t>Return on Capital Employed</t>
  </si>
  <si>
    <t>Self Sustained Growth Rate</t>
  </si>
  <si>
    <t>Retained Earnings%</t>
  </si>
  <si>
    <t>Return on Equity%</t>
  </si>
  <si>
    <t xml:space="preserve">Interest Coverage Ratio 
</t>
  </si>
  <si>
    <t xml:space="preserve">Debtor Turnover Ratio </t>
  </si>
  <si>
    <t xml:space="preserve">Inventory Turnover  </t>
  </si>
  <si>
    <t xml:space="preserve">Fixed Asset Turnover </t>
  </si>
  <si>
    <t xml:space="preserve">Capital Turnover Ratio </t>
  </si>
  <si>
    <t xml:space="preserve">Creditor Turnover Ratio  </t>
  </si>
  <si>
    <t xml:space="preserve">Debtor Days </t>
  </si>
  <si>
    <t xml:space="preserve">Inventory Days </t>
  </si>
  <si>
    <t xml:space="preserve">Payable  Days </t>
  </si>
  <si>
    <t>CFO/Sales</t>
  </si>
  <si>
    <t>CFO/Total Assets</t>
  </si>
  <si>
    <t xml:space="preserve">CFO/Total Debt </t>
  </si>
  <si>
    <t xml:space="preserve">Cash Conversion Cycle  </t>
  </si>
  <si>
    <t xml:space="preserve">Mean </t>
  </si>
  <si>
    <t>Median</t>
  </si>
  <si>
    <t xml:space="preserve">Trend </t>
  </si>
  <si>
    <t xml:space="preserve">Year Weight 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</si>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</sst>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&quot;₹&quot;\ \(#,##0.0\);\-"/>
    <numFmt numFmtId="167" formatCode="0.0%"/>
    <numFmt numFmtId="168" formatCode="0.00&quot;x&quot;"/>
    <numFmt numFmtId="169" formatCode="0&quot;A&quot;"/>
    <numFmt numFmtId="170" formatCode="yyyy"/>
    <numFmt numFmtId="171" formatCode="yyyy&quot;A&quot;"/>
    <numFmt numFmtId="172" formatCode="yyyy&quot;E&quot;"/>
    <numFmt numFmtId="173" formatCode="#,##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70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166" fontId="0" fillId="0" borderId="0" xfId="0" applyNumberFormat="1"/>
    <xf numFmtId="17" fontId="2" fillId="4" borderId="0" xfId="0" applyNumberFormat="1" applyFont="1" applyFill="1" applyAlignment="1">
      <alignment horizontal="right"/>
    </xf>
    <xf numFmtId="10" fontId="7" fillId="0" borderId="0" xfId="4" applyNumberFormat="1" applyFont="1"/>
    <xf numFmtId="0" fontId="7" fillId="0" borderId="0" xfId="0" applyFont="1"/>
    <xf numFmtId="0" fontId="8" fillId="0" borderId="0" xfId="0" applyFont="1" applyAlignment="1">
      <alignment horizontal="right"/>
    </xf>
    <xf numFmtId="9" fontId="7" fillId="0" borderId="0" xfId="4" applyFont="1"/>
    <xf numFmtId="0" fontId="9" fillId="0" borderId="0" xfId="0" applyFont="1"/>
    <xf numFmtId="0" fontId="0" fillId="5" borderId="0" xfId="0" applyFill="1"/>
    <xf numFmtId="0" fontId="2" fillId="5" borderId="0" xfId="0" applyFont="1" applyFill="1"/>
    <xf numFmtId="17" fontId="2" fillId="5" borderId="0" xfId="0" applyNumberFormat="1" applyFont="1" applyFill="1"/>
    <xf numFmtId="17" fontId="2" fillId="5" borderId="0" xfId="0" applyNumberFormat="1" applyFont="1" applyFill="1" applyAlignment="1">
      <alignment horizontal="right"/>
    </xf>
    <xf numFmtId="0" fontId="1" fillId="6" borderId="0" xfId="0" applyFont="1" applyFill="1"/>
    <xf numFmtId="0" fontId="0" fillId="6" borderId="0" xfId="0" applyFill="1"/>
    <xf numFmtId="9" fontId="0" fillId="0" borderId="0" xfId="4" applyFont="1"/>
    <xf numFmtId="166" fontId="1" fillId="0" borderId="0" xfId="0" applyNumberFormat="1" applyFont="1"/>
    <xf numFmtId="0" fontId="10" fillId="0" borderId="0" xfId="0" applyFont="1"/>
    <xf numFmtId="166" fontId="10" fillId="0" borderId="0" xfId="0" applyNumberFormat="1" applyFont="1"/>
    <xf numFmtId="17" fontId="0" fillId="0" borderId="0" xfId="0" applyNumberFormat="1"/>
    <xf numFmtId="3" fontId="0" fillId="0" borderId="0" xfId="0" applyNumberFormat="1"/>
    <xf numFmtId="0" fontId="1" fillId="0" borderId="1" xfId="0" applyFont="1" applyBorder="1"/>
    <xf numFmtId="166" fontId="1" fillId="0" borderId="1" xfId="0" applyNumberFormat="1" applyFont="1" applyBorder="1"/>
    <xf numFmtId="0" fontId="1" fillId="0" borderId="2" xfId="0" applyFont="1" applyBorder="1"/>
    <xf numFmtId="166" fontId="1" fillId="0" borderId="2" xfId="0" applyNumberFormat="1" applyFont="1" applyBorder="1"/>
    <xf numFmtId="167" fontId="0" fillId="0" borderId="0" xfId="4" applyNumberFormat="1" applyFont="1"/>
    <xf numFmtId="0" fontId="0" fillId="0" borderId="3" xfId="0" applyBorder="1"/>
    <xf numFmtId="10" fontId="0" fillId="0" borderId="3" xfId="4" applyNumberFormat="1" applyFont="1" applyBorder="1"/>
    <xf numFmtId="10" fontId="0" fillId="0" borderId="0" xfId="4" applyNumberFormat="1" applyFont="1" applyBorder="1"/>
    <xf numFmtId="0" fontId="0" fillId="0" borderId="4" xfId="0" applyBorder="1"/>
    <xf numFmtId="10" fontId="0" fillId="0" borderId="4" xfId="4" applyNumberFormat="1" applyFont="1" applyBorder="1"/>
    <xf numFmtId="167" fontId="0" fillId="0" borderId="3" xfId="4" applyNumberFormat="1" applyFont="1" applyBorder="1"/>
    <xf numFmtId="167" fontId="0" fillId="0" borderId="0" xfId="4" applyNumberFormat="1" applyFont="1" applyBorder="1"/>
    <xf numFmtId="167" fontId="0" fillId="0" borderId="4" xfId="4" applyNumberFormat="1" applyFont="1" applyBorder="1"/>
    <xf numFmtId="0" fontId="0" fillId="0" borderId="4" xfId="0" applyBorder="1" applyAlignment="1">
      <alignment wrapText="1"/>
    </xf>
    <xf numFmtId="168" fontId="0" fillId="0" borderId="4" xfId="4" applyNumberFormat="1" applyFont="1" applyBorder="1"/>
    <xf numFmtId="168" fontId="0" fillId="0" borderId="3" xfId="4" applyNumberFormat="1" applyFont="1" applyBorder="1"/>
    <xf numFmtId="168" fontId="0" fillId="0" borderId="0" xfId="4" applyNumberFormat="1" applyFont="1" applyBorder="1"/>
    <xf numFmtId="1" fontId="0" fillId="0" borderId="0" xfId="0" applyNumberFormat="1"/>
    <xf numFmtId="1" fontId="0" fillId="0" borderId="4" xfId="0" applyNumberFormat="1" applyBorder="1"/>
    <xf numFmtId="9" fontId="0" fillId="0" borderId="3" xfId="4" applyFont="1" applyBorder="1"/>
    <xf numFmtId="9" fontId="0" fillId="0" borderId="0" xfId="4" applyFont="1" applyBorder="1"/>
    <xf numFmtId="9" fontId="0" fillId="0" borderId="4" xfId="4" applyFont="1" applyBorder="1"/>
    <xf numFmtId="1" fontId="0" fillId="0" borderId="3" xfId="0" applyNumberFormat="1" applyBorder="1"/>
    <xf numFmtId="17" fontId="2" fillId="4" borderId="0" xfId="0" applyNumberFormat="1" applyFont="1" applyFill="1" applyAlignment="1">
      <alignment horizontal="center"/>
    </xf>
    <xf numFmtId="169" fontId="0" fillId="0" borderId="0" xfId="0" applyNumberFormat="1"/>
    <xf numFmtId="0" fontId="11" fillId="4" borderId="0" xfId="0" applyFont="1" applyFill="1"/>
    <xf numFmtId="170" fontId="0" fillId="0" borderId="0" xfId="0" applyNumberFormat="1"/>
    <xf numFmtId="171" fontId="0" fillId="0" borderId="0" xfId="0" applyNumberFormat="1"/>
    <xf numFmtId="173" fontId="0" fillId="0" borderId="0" xfId="0" applyNumberFormat="1"/>
    <xf numFmtId="10" fontId="0" fillId="0" borderId="0" xfId="4" applyNumberFormat="1" applyFont="1"/>
    <xf numFmtId="0" fontId="0" fillId="7" borderId="0" xfId="0" applyFill="1"/>
    <xf numFmtId="172" fontId="0" fillId="7" borderId="0" xfId="0" applyNumberFormat="1" applyFill="1"/>
    <xf numFmtId="173" fontId="0" fillId="7" borderId="0" xfId="0" applyNumberFormat="1" applyFill="1"/>
    <xf numFmtId="10" fontId="0" fillId="7" borderId="0" xfId="4" applyNumberFormat="1" applyFont="1" applyFill="1"/>
    <xf numFmtId="9" fontId="0" fillId="0" borderId="0" xfId="4" applyFont="1" applyAlignment="1">
      <alignment wrapText="1"/>
    </xf>
    <xf numFmtId="0" fontId="2" fillId="4" borderId="0" xfId="0" applyFont="1" applyFill="1" applyAlignment="1">
      <alignment horizontal="center"/>
    </xf>
    <xf numFmtId="43" fontId="11" fillId="4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A95B-A65B-47E8-8226-9123D40295F4}">
  <sheetPr>
    <tabColor theme="7" tint="0.39997558519241921"/>
  </sheetPr>
  <dimension ref="B2:O40"/>
  <sheetViews>
    <sheetView showGridLines="0" tabSelected="1" zoomScale="128" workbookViewId="0">
      <pane ySplit="3" topLeftCell="A17" activePane="bottomLeft" state="frozen"/>
      <selection pane="bottomLeft" activeCell="N18" sqref="N18"/>
    </sheetView>
  </sheetViews>
  <sheetFormatPr defaultRowHeight="14.4" x14ac:dyDescent="0.3"/>
  <cols>
    <col min="1" max="1" width="1.88671875" customWidth="1"/>
    <col min="2" max="2" width="25.109375" bestFit="1" customWidth="1"/>
    <col min="13" max="13" width="12.33203125" customWidth="1"/>
    <col min="15" max="15" width="7" customWidth="1"/>
  </cols>
  <sheetData>
    <row r="2" spans="2:15" x14ac:dyDescent="0.3">
      <c r="B2" s="65" t="str">
        <f>"Ratio Anlaysis  -  "&amp;'Data Sheet'!B1</f>
        <v>Ratio Anlaysis  -  HINDUSTAN UNILEVER LTD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2:15" x14ac:dyDescent="0.3">
      <c r="B3" s="9" t="s">
        <v>54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53" t="s">
        <v>159</v>
      </c>
      <c r="N3" s="10" t="s">
        <v>157</v>
      </c>
      <c r="O3" s="10" t="s">
        <v>158</v>
      </c>
    </row>
    <row r="5" spans="2:15" x14ac:dyDescent="0.3">
      <c r="B5" s="35" t="s">
        <v>127</v>
      </c>
      <c r="C5" s="35"/>
      <c r="D5" s="36">
        <f>IFERROR('Historical Financial Statement '!D7,0)</f>
        <v>3.03237432424035E-2</v>
      </c>
      <c r="E5" s="36">
        <f>IFERROR('Historical Financial Statement '!E7,0)</f>
        <v>7.1859357095470644E-2</v>
      </c>
      <c r="F5" s="36">
        <f>IFERROR('Historical Financial Statement '!F7,0)</f>
        <v>0.1059220706147137</v>
      </c>
      <c r="G5" s="36">
        <f>IFERROR('Historical Financial Statement '!G7,0)</f>
        <v>1.2032561689137689E-2</v>
      </c>
      <c r="H5" s="36">
        <f>IFERROR('Historical Financial Statement '!H7,0)</f>
        <v>0.18211296282331646</v>
      </c>
      <c r="I5" s="36">
        <f>IFERROR('Historical Financial Statement '!I7,0)</f>
        <v>0.11520796121459553</v>
      </c>
      <c r="J5" s="36">
        <f>IFERROR('Historical Financial Statement '!J7,0)</f>
        <v>0.15509285741524614</v>
      </c>
      <c r="K5" s="36">
        <f>IFERROR('Historical Financial Statement '!K7,0)</f>
        <v>2.1723341036645749E-2</v>
      </c>
      <c r="L5" s="36">
        <f>IFERROR('Historical Financial Statement '!L7,0)</f>
        <v>1.9791262763344974E-2</v>
      </c>
      <c r="M5" s="36"/>
      <c r="N5" s="40">
        <f>IFERROR(AVERAGE(D5:L5),0)</f>
        <v>7.9340679766097155E-2</v>
      </c>
      <c r="O5" s="40">
        <f>IFERROR(MEDIAN(C5:L5),0)</f>
        <v>7.1859357095470644E-2</v>
      </c>
    </row>
    <row r="6" spans="2:15" x14ac:dyDescent="0.3">
      <c r="B6" t="s">
        <v>128</v>
      </c>
      <c r="D6" s="37">
        <f>IFERROR('Historical Financial Statement '!D18/'Historical Financial Statement '!C18-1,0)</f>
        <v>7.0727580372250465E-2</v>
      </c>
      <c r="E6" s="37">
        <f>IFERROR('Historical Financial Statement '!E18/'Historical Financial Statement '!D18-1,0)</f>
        <v>0.1850505689001265</v>
      </c>
      <c r="F6" s="37">
        <f>IFERROR('Historical Financial Statement '!F18/'Historical Financial Statement '!E18-1,0)</f>
        <v>0.1841578877183625</v>
      </c>
      <c r="G6" s="37">
        <f>IFERROR('Historical Financial Statement '!G18/'Historical Financial Statement '!F18-1,0)</f>
        <v>0.11047297297297298</v>
      </c>
      <c r="H6" s="37">
        <f>IFERROR('Historical Financial Statement '!H18/'Historical Financial Statement '!G18-1,0)</f>
        <v>0.1789879322583916</v>
      </c>
      <c r="I6" s="37">
        <f>IFERROR('Historical Financial Statement '!I18/'Historical Financial Statement '!H18-1,0)</f>
        <v>0.10588336487183891</v>
      </c>
      <c r="J6" s="37">
        <f>IFERROR('Historical Financial Statement '!J18/'Historical Financial Statement '!I18-1,0)</f>
        <v>0.10033444816053505</v>
      </c>
      <c r="K6" s="37">
        <f>IFERROR('Historical Financial Statement '!K18/'Historical Financial Statement '!J18-1,0)</f>
        <v>3.6191418675337594E-2</v>
      </c>
      <c r="L6" s="37">
        <f>IFERROR('Historical Financial Statement '!L18/'Historical Financial Statement '!K18-1,0)</f>
        <v>1.255201582645471E-2</v>
      </c>
      <c r="M6" s="37"/>
      <c r="N6" s="41">
        <f t="shared" ref="N6:N9" si="0">IFERROR(AVERAGE(D6:L6),0)</f>
        <v>0.10937313219514115</v>
      </c>
      <c r="O6" s="41">
        <f t="shared" ref="O6:O40" si="1">IFERROR(MEDIAN(C6:L6),0)</f>
        <v>0.10588336487183891</v>
      </c>
    </row>
    <row r="7" spans="2:15" x14ac:dyDescent="0.3">
      <c r="B7" t="s">
        <v>129</v>
      </c>
      <c r="D7" s="37">
        <f>IFERROR('Historical Financial Statement '!D27/'Historical Financial Statement '!C27-1,0)</f>
        <v>5.794223826714795E-2</v>
      </c>
      <c r="E7" s="37">
        <f>IFERROR('Historical Financial Statement '!E27/'Historical Financial Statement '!D27-1,0)</f>
        <v>0.18631632827162603</v>
      </c>
      <c r="F7" s="37">
        <f>IFERROR('Historical Financial Statement '!F27/'Historical Financial Statement '!E27-1,0)</f>
        <v>0.19114051488566086</v>
      </c>
      <c r="G7" s="37">
        <f>IFERROR('Historical Financial Statement '!G27/'Historical Financial Statement '!F27-1,0)</f>
        <v>5.5421395798116446E-2</v>
      </c>
      <c r="H7" s="37">
        <f>IFERROR('Historical Financial Statement '!H27/'Historical Financial Statement '!G27-1,0)</f>
        <v>0.19379933646035918</v>
      </c>
      <c r="I7" s="37">
        <f>IFERROR('Historical Financial Statement '!I27/'Historical Financial Statement '!H27-1,0)</f>
        <v>0.11739338763775753</v>
      </c>
      <c r="J7" s="37">
        <f>IFERROR('Historical Financial Statement '!J27/'Historical Financial Statement '!I27-1,0)</f>
        <v>0.10600343053173233</v>
      </c>
      <c r="K7" s="37">
        <f>IFERROR('Historical Financial Statement '!K27/'Historical Financial Statement '!J27-1,0)</f>
        <v>1.6516749379652529E-2</v>
      </c>
      <c r="L7" s="37">
        <f>IFERROR('Historical Financial Statement '!L27/'Historical Financial Statement '!K27-1,0)</f>
        <v>-1.2205355099550452E-3</v>
      </c>
      <c r="M7" s="37"/>
      <c r="N7" s="41">
        <f t="shared" si="0"/>
        <v>0.10259031619134421</v>
      </c>
      <c r="O7" s="41">
        <f t="shared" si="1"/>
        <v>0.10600343053173233</v>
      </c>
    </row>
    <row r="8" spans="2:15" x14ac:dyDescent="0.3">
      <c r="B8" t="s">
        <v>130</v>
      </c>
      <c r="D8" s="37">
        <f>IFERROR('Historical Financial Statement '!D33/'Historical Financial Statement '!C33-1,0)</f>
        <v>5.9754433833560716E-2</v>
      </c>
      <c r="E8" s="37">
        <f>IFERROR('Historical Financial Statement '!E33/'Historical Financial Statement '!D33-1,0)</f>
        <v>0.2548918640576725</v>
      </c>
      <c r="F8" s="37">
        <f>IFERROR('Historical Financial Statement '!F33/'Historical Financial Statement '!E33-1,0)</f>
        <v>0.17726713171932706</v>
      </c>
      <c r="G8" s="37">
        <f>IFERROR('Historical Financial Statement '!G33/'Historical Financial Statement '!F33-1,0)</f>
        <v>0.10352039037992333</v>
      </c>
      <c r="H8" s="37">
        <f>IFERROR('Historical Financial Statement '!H33/'Historical Financial Statement '!G33-1,0)</f>
        <v>0.23641819330385339</v>
      </c>
      <c r="I8" s="37">
        <f>IFERROR('Historical Financial Statement '!I33/'Historical Financial Statement '!H33-1,0)</f>
        <v>0.10780431728190054</v>
      </c>
      <c r="J8" s="37">
        <f>IFERROR('Historical Financial Statement '!J33/'Historical Financial Statement '!I33-1,0)</f>
        <v>0.11783696529459231</v>
      </c>
      <c r="K8" s="37">
        <f>IFERROR('Historical Financial Statement '!K33/'Historical Financial Statement '!J33-1,0)</f>
        <v>-2.372356884992266E-2</v>
      </c>
      <c r="L8" s="37">
        <f>IFERROR('Historical Financial Statement '!L33/'Historical Financial Statement '!K33-1,0)</f>
        <v>-1.2255678816693094E-2</v>
      </c>
      <c r="M8" s="37"/>
      <c r="N8" s="41">
        <f t="shared" si="0"/>
        <v>0.11350156091157936</v>
      </c>
      <c r="O8" s="41">
        <f t="shared" si="1"/>
        <v>0.10780431728190054</v>
      </c>
    </row>
    <row r="9" spans="2:15" x14ac:dyDescent="0.3">
      <c r="B9" s="38" t="s">
        <v>131</v>
      </c>
      <c r="C9" s="38"/>
      <c r="D9" s="39">
        <f>IFERROR('Historical Financial Statement '!D41/'Historical Financial Statement '!C41-1,0)</f>
        <v>6.2303631659196945E-2</v>
      </c>
      <c r="E9" s="39">
        <f>IFERROR('Historical Financial Statement '!E41/'Historical Financial Statement '!D41-1,0)</f>
        <v>0.17636188224423521</v>
      </c>
      <c r="F9" s="39">
        <f>IFERROR('Historical Financial Statement '!F41/'Historical Financial Statement '!E41-1,0)</f>
        <v>9.989836928904694E-2</v>
      </c>
      <c r="G9" s="39">
        <f>IFERROR('Historical Financial Statement '!G41/'Historical Financial Statement '!F41-1,0)</f>
        <v>0.13631114358664265</v>
      </c>
      <c r="H9" s="39">
        <f>IFERROR('Historical Financial Statement '!H41/'Historical Financial Statement '!G41-1,0)</f>
        <v>0.62387640449438186</v>
      </c>
      <c r="I9" s="39">
        <f>IFERROR('Historical Financial Statement '!I41/'Historical Financial Statement '!H41-1,0)</f>
        <v>-0.16049382716049365</v>
      </c>
      <c r="J9" s="39">
        <f>IFERROR('Historical Financial Statement '!J41/'Historical Financial Statement '!I41-1,0)</f>
        <v>0.14705882352941169</v>
      </c>
      <c r="K9" s="39">
        <f>IFERROR('Historical Financial Statement '!K41/'Historical Financial Statement '!J41-1,0)</f>
        <v>7.6923076923076872E-2</v>
      </c>
      <c r="L9" s="39">
        <f>IFERROR('Historical Financial Statement '!L41/'Historical Financial Statement '!K41-1,0)</f>
        <v>0.26190476190476186</v>
      </c>
      <c r="M9" s="39"/>
      <c r="N9" s="42">
        <f t="shared" si="0"/>
        <v>0.15823825183002893</v>
      </c>
      <c r="O9" s="42">
        <f t="shared" si="1"/>
        <v>0.13631114358664265</v>
      </c>
    </row>
    <row r="11" spans="2:15" x14ac:dyDescent="0.3">
      <c r="B11" s="35" t="s">
        <v>132</v>
      </c>
      <c r="C11" s="40">
        <f>IFERROR('Historical Financial Statement '!C13,0)</f>
        <v>0.43385322811160132</v>
      </c>
      <c r="D11" s="40">
        <f>IFERROR('Historical Financial Statement '!D13,0)</f>
        <v>0.43685543694590195</v>
      </c>
      <c r="E11" s="40">
        <f>IFERROR('Historical Financial Statement '!E13,0)</f>
        <v>0.45663243775495849</v>
      </c>
      <c r="F11" s="40">
        <f>IFERROR('Historical Financial Statement '!F13,0)</f>
        <v>0.46372424319511574</v>
      </c>
      <c r="G11" s="40">
        <f>IFERROR('Historical Financial Statement '!G13,0)</f>
        <v>0.48183897644722617</v>
      </c>
      <c r="H11" s="40">
        <f>IFERROR('Historical Financial Statement '!H13,0)</f>
        <v>0.46200136089138388</v>
      </c>
      <c r="I11" s="40">
        <f>IFERROR('Historical Financial Statement '!I13,0)</f>
        <v>0.44579186210578498</v>
      </c>
      <c r="J11" s="40">
        <f>IFERROR('Historical Financial Statement '!J13,0)</f>
        <v>0.41596236381644108</v>
      </c>
      <c r="K11" s="40">
        <f>IFERROR('Historical Financial Statement '!K13,0)</f>
        <v>0.45632997285769678</v>
      </c>
      <c r="L11" s="40">
        <f>IFERROR('Historical Financial Statement '!L13,0)</f>
        <v>0.45297127738787407</v>
      </c>
      <c r="M11" s="35"/>
      <c r="N11" s="40">
        <f>IFERROR(AVERAGE(C11:L11),0)</f>
        <v>0.45059611595139842</v>
      </c>
      <c r="O11" s="40">
        <f t="shared" si="1"/>
        <v>0.45465062512278542</v>
      </c>
    </row>
    <row r="12" spans="2:15" x14ac:dyDescent="0.3">
      <c r="B12" t="s">
        <v>133</v>
      </c>
      <c r="C12" s="41">
        <f>IFERROR('Historical Financial Statement '!C19,0)</f>
        <v>0.18362020754365252</v>
      </c>
      <c r="D12" s="41">
        <f>IFERROR('Historical Financial Statement '!D19,0)</f>
        <v>0.1908208190097099</v>
      </c>
      <c r="E12" s="41">
        <f>IFERROR('Historical Financial Statement '!E19,0)</f>
        <v>0.21097200731467156</v>
      </c>
      <c r="F12" s="41">
        <f>IFERROR('Historical Financial Statement '!F19,0)</f>
        <v>0.2258967183922666</v>
      </c>
      <c r="G12" s="41">
        <f>IFERROR('Historical Financial Statement '!G19,0)</f>
        <v>0.24786969308498605</v>
      </c>
      <c r="H12" s="41">
        <f>IFERROR('Historical Financial Statement '!H19,0)</f>
        <v>0.24721442544866887</v>
      </c>
      <c r="I12" s="41">
        <f>IFERROR('Historical Financial Statement '!I19,0)</f>
        <v>0.24514738969606834</v>
      </c>
      <c r="J12" s="41">
        <f>IFERROR('Historical Financial Statement '!J19,0)</f>
        <v>0.23352591614394189</v>
      </c>
      <c r="K12" s="41">
        <f>IFERROR('Historical Financial Statement '!K19,0)</f>
        <v>0.23683275171255008</v>
      </c>
      <c r="L12" s="41">
        <f>IFERROR('Historical Financial Statement '!L19,0)</f>
        <v>0.23515153435465216</v>
      </c>
      <c r="N12" s="41">
        <f t="shared" ref="N12:N15" si="2">IFERROR(AVERAGE(C12:L12),0)</f>
        <v>0.22570514627011679</v>
      </c>
      <c r="O12" s="41">
        <f t="shared" si="1"/>
        <v>0.23433872524929703</v>
      </c>
    </row>
    <row r="13" spans="2:15" x14ac:dyDescent="0.3">
      <c r="B13" t="s">
        <v>135</v>
      </c>
      <c r="C13" s="41">
        <f>IFERROR(('Historical Financial Statement '!C18-'Historical Financial Statement '!C24)/'Historical Financial Statement '!C6,0)</f>
        <v>0.17265270614552911</v>
      </c>
      <c r="D13" s="41">
        <f>IFERROR(('Historical Financial Statement '!D18-'Historical Financial Statement '!D24)/'Historical Financial Statement '!D6,0)</f>
        <v>0.17779386044267534</v>
      </c>
      <c r="E13" s="41">
        <f>IFERROR(('Historical Financial Statement '!E18-'Historical Financial Statement '!E24)/'Historical Financial Statement '!E6,0)</f>
        <v>0.19634266422844282</v>
      </c>
      <c r="F13" s="41">
        <f>IFERROR(('Historical Financial Statement '!F18-'Historical Financial Statement '!F24)/'Historical Financial Statement '!F6,0)</f>
        <v>0.21152378529636226</v>
      </c>
      <c r="G13" s="41">
        <f>IFERROR(('Historical Financial Statement '!G18-'Historical Financial Statement '!G24)/'Historical Financial Statement '!G6,0)</f>
        <v>0.22268305557650253</v>
      </c>
      <c r="H13" s="41">
        <f>IFERROR(('Historical Financial Statement '!H18-'Historical Financial Statement '!H24)/'Historical Financial Statement '!H6,0)</f>
        <v>0.22437696691332823</v>
      </c>
      <c r="I13" s="41">
        <f>IFERROR(('Historical Financial Statement '!I18-'Historical Financial Statement '!I24)/'Historical Financial Statement '!I6,0)</f>
        <v>0.22434504061320215</v>
      </c>
      <c r="J13" s="41">
        <f>IFERROR(('Historical Financial Statement '!J18-'Historical Financial Statement '!J24)/'Historical Financial Statement '!J6,0)</f>
        <v>0.21475734565863322</v>
      </c>
      <c r="K13" s="41">
        <f>IFERROR(('Historical Financial Statement '!K18-'Historical Financial Statement '!K24)/'Historical Financial Statement '!K6,0)</f>
        <v>0.21718689414501746</v>
      </c>
      <c r="L13" s="41">
        <f>IFERROR(('Historical Financial Statement '!L18-'Historical Financial Statement '!L24)/'Historical Financial Statement '!L6,0)</f>
        <v>0.21368482755342913</v>
      </c>
      <c r="N13" s="41">
        <f t="shared" si="2"/>
        <v>0.20753471465731224</v>
      </c>
      <c r="O13" s="41">
        <f t="shared" si="1"/>
        <v>0.21422108660603117</v>
      </c>
    </row>
    <row r="14" spans="2:15" x14ac:dyDescent="0.3">
      <c r="B14" t="s">
        <v>134</v>
      </c>
      <c r="C14" s="41">
        <f>IFERROR('Historical Financial Statement '!C28,0)</f>
        <v>0.17212452619151183</v>
      </c>
      <c r="D14" s="41">
        <f>IFERROR('Historical Financial Statement '!D28,0)</f>
        <v>0.17673843555877208</v>
      </c>
      <c r="E14" s="41">
        <f>IFERROR('Historical Financial Statement '!E28,0)</f>
        <v>0.19561119707413138</v>
      </c>
      <c r="F14" s="41">
        <f>IFERROR('Historical Financial Statement '!F28,0)</f>
        <v>0.21068430424828288</v>
      </c>
      <c r="G14" s="41">
        <f>IFERROR('Historical Financial Statement '!G28,0)</f>
        <v>0.21971696453258929</v>
      </c>
      <c r="H14" s="41">
        <f>IFERROR('Historical Financial Statement '!H28,0)</f>
        <v>0.22188908735221571</v>
      </c>
      <c r="I14" s="41">
        <f>IFERROR('Historical Financial Statement '!I28,0)</f>
        <v>0.22232391412119132</v>
      </c>
      <c r="J14" s="41">
        <f>IFERROR('Historical Financial Statement '!J28,0)</f>
        <v>0.21287553648068669</v>
      </c>
      <c r="K14" s="41">
        <f>IFERROR('Historical Financial Statement '!K28,0)</f>
        <v>0.2117907457670932</v>
      </c>
      <c r="L14" s="41">
        <f>IFERROR('Historical Financial Statement '!L28,0)</f>
        <v>0.20742700527558183</v>
      </c>
      <c r="N14" s="41">
        <f t="shared" si="2"/>
        <v>0.2051181716602056</v>
      </c>
      <c r="O14" s="41">
        <f t="shared" si="1"/>
        <v>0.21123752500768805</v>
      </c>
    </row>
    <row r="15" spans="2:15" x14ac:dyDescent="0.3">
      <c r="B15" s="38" t="s">
        <v>136</v>
      </c>
      <c r="C15" s="42">
        <f>IFERROR('Historical Financial Statement '!C34,0)</f>
        <v>0.11386938420431243</v>
      </c>
      <c r="D15" s="42">
        <f>IFERROR('Historical Financial Statement '!D34,0)</f>
        <v>0.11712200711657922</v>
      </c>
      <c r="E15" s="42">
        <f>IFERROR('Historical Financial Statement '!E34,0)</f>
        <v>0.1371219580813054</v>
      </c>
      <c r="F15" s="42">
        <f>IFERROR('Historical Financial Statement '!F34,0)</f>
        <v>0.14596794708725516</v>
      </c>
      <c r="G15" s="42">
        <f>IFERROR('Historical Financial Statement '!G34,0)</f>
        <v>0.15916346178015736</v>
      </c>
      <c r="H15" s="42">
        <f>IFERROR('Historical Financial Statement '!H34,0)</f>
        <v>0.16647529131581185</v>
      </c>
      <c r="I15" s="42">
        <f>IFERROR('Historical Financial Statement '!I34,0)</f>
        <v>0.16537009495481067</v>
      </c>
      <c r="J15" s="42">
        <f>IFERROR('Historical Financial Statement '!J34,0)</f>
        <v>0.16003631561571477</v>
      </c>
      <c r="K15" s="42">
        <f>IFERROR('Historical Financial Statement '!K34,0)</f>
        <v>0.15291779759596744</v>
      </c>
      <c r="L15" s="42">
        <f>IFERROR('Historical Financial Statement '!L34,0)</f>
        <v>0.14811235563441644</v>
      </c>
      <c r="M15" s="38"/>
      <c r="N15" s="42">
        <f t="shared" si="2"/>
        <v>0.14661566133863307</v>
      </c>
      <c r="O15" s="42">
        <f t="shared" si="1"/>
        <v>0.15051507661519192</v>
      </c>
    </row>
    <row r="17" spans="2:15" x14ac:dyDescent="0.3">
      <c r="B17" s="35" t="s">
        <v>137</v>
      </c>
      <c r="C17" s="40">
        <f>IFERROR('Historical Financial Statement '!C16,0)</f>
        <v>0.25023302056794877</v>
      </c>
      <c r="D17" s="40">
        <f>IFERROR('Historical Financial Statement '!D16,0)</f>
        <v>0.24603461793619202</v>
      </c>
      <c r="E17" s="40">
        <f>IFERROR('Historical Financial Statement '!E16,0)</f>
        <v>0.24566043044028696</v>
      </c>
      <c r="F17" s="40">
        <f>IFERROR('Historical Financial Statement '!F16,0)</f>
        <v>0.23782752480284916</v>
      </c>
      <c r="G17" s="40">
        <f>IFERROR('Historical Financial Statement '!G16,0)</f>
        <v>0.23396928336224015</v>
      </c>
      <c r="H17" s="40">
        <f>IFERROR('Historical Financial Statement '!H16,0)</f>
        <v>0.21478693544271499</v>
      </c>
      <c r="I17" s="40">
        <f>IFERROR('Historical Financial Statement '!I16,0)</f>
        <v>0.20064447240971667</v>
      </c>
      <c r="J17" s="40">
        <f>IFERROR('Historical Financial Statement '!J16,0)</f>
        <v>0.18243644767249917</v>
      </c>
      <c r="K17" s="40">
        <f>IFERROR('Historical Financial Statement '!K16,0)</f>
        <v>0.21949722114514669</v>
      </c>
      <c r="L17" s="40">
        <f>IFERROR('Historical Financial Statement '!L16,0)</f>
        <v>0.21781974303322191</v>
      </c>
      <c r="M17" s="35"/>
      <c r="N17" s="40">
        <f>IFERROR(AVERAGE(C17:L17),0)</f>
        <v>0.22489096968128167</v>
      </c>
      <c r="O17" s="40">
        <f t="shared" si="1"/>
        <v>0.22673325225369342</v>
      </c>
    </row>
    <row r="18" spans="2:15" x14ac:dyDescent="0.3">
      <c r="B18" t="s">
        <v>138</v>
      </c>
      <c r="C18" s="41">
        <f>IFERROR('Historical Financial Statement '!C25,0)</f>
        <v>1.0967501398123409E-2</v>
      </c>
      <c r="D18" s="41">
        <f>IFERROR('Historical Financial Statement '!D25,0)</f>
        <v>1.3026958567034558E-2</v>
      </c>
      <c r="E18" s="41">
        <f>IFERROR('Historical Financial Statement '!E25,0)</f>
        <v>1.4629343086228723E-2</v>
      </c>
      <c r="F18" s="41">
        <f>IFERROR('Historical Financial Statement '!F25,0)</f>
        <v>1.437293309590435E-2</v>
      </c>
      <c r="G18" s="41">
        <f>IFERROR('Historical Financial Statement '!G25,0)</f>
        <v>2.5186637508483524E-2</v>
      </c>
      <c r="H18" s="41">
        <f>IFERROR('Historical Financial Statement '!H25,0)</f>
        <v>2.2837458535340648E-2</v>
      </c>
      <c r="I18" s="41">
        <f>IFERROR('Historical Financial Statement '!I25,0)</f>
        <v>2.0802349082866187E-2</v>
      </c>
      <c r="J18" s="41">
        <f>IFERROR('Historical Financial Statement '!J25,0)</f>
        <v>1.8768570485308684E-2</v>
      </c>
      <c r="K18" s="41">
        <f>IFERROR('Historical Financial Statement '!K25,0)</f>
        <v>1.9645857567532635E-2</v>
      </c>
      <c r="L18" s="41">
        <f>IFERROR('Historical Financial Statement '!L25,0)</f>
        <v>2.1466706801223048E-2</v>
      </c>
      <c r="N18" s="41">
        <f t="shared" ref="N18" si="3">IFERROR(AVERAGE(C18:L18),0)</f>
        <v>1.8170431612804579E-2</v>
      </c>
      <c r="O18" s="41">
        <f t="shared" si="1"/>
        <v>1.9207214026420658E-2</v>
      </c>
    </row>
    <row r="19" spans="2:15" x14ac:dyDescent="0.3">
      <c r="B19" s="38" t="s">
        <v>139</v>
      </c>
      <c r="C19" s="42">
        <f>'Ratio Analysis'!C13</f>
        <v>0.17265270614552911</v>
      </c>
      <c r="D19" s="42">
        <f>'Ratio Analysis'!D13</f>
        <v>0.17779386044267534</v>
      </c>
      <c r="E19" s="42">
        <f>'Ratio Analysis'!E13</f>
        <v>0.19634266422844282</v>
      </c>
      <c r="F19" s="42">
        <f>'Ratio Analysis'!F13</f>
        <v>0.21152378529636226</v>
      </c>
      <c r="G19" s="42">
        <f>'Ratio Analysis'!G13</f>
        <v>0.22268305557650253</v>
      </c>
      <c r="H19" s="42">
        <f>'Ratio Analysis'!H13</f>
        <v>0.22437696691332823</v>
      </c>
      <c r="I19" s="42">
        <f>'Ratio Analysis'!I13</f>
        <v>0.22434504061320215</v>
      </c>
      <c r="J19" s="42">
        <f>'Ratio Analysis'!J13</f>
        <v>0.21475734565863322</v>
      </c>
      <c r="K19" s="42">
        <f>'Ratio Analysis'!K13</f>
        <v>0.21718689414501746</v>
      </c>
      <c r="L19" s="42">
        <f>'Ratio Analysis'!L13</f>
        <v>0.21368482755342913</v>
      </c>
      <c r="M19" s="38"/>
      <c r="N19" s="42">
        <f>IFERROR(AVERAGE(C19:L19),0)</f>
        <v>0.20753471465731224</v>
      </c>
      <c r="O19" s="42">
        <f t="shared" si="1"/>
        <v>0.21422108660603117</v>
      </c>
    </row>
    <row r="20" spans="2:15" x14ac:dyDescent="0.3">
      <c r="O20" s="34"/>
    </row>
    <row r="21" spans="2:15" x14ac:dyDescent="0.3">
      <c r="B21" s="35" t="s">
        <v>140</v>
      </c>
      <c r="C21" s="40">
        <f>IFERROR(('Historical Financial Statement '!C18-'Historical Financial Statement '!C24)/(SUM('Historical Financial Statement '!C48:C50)),0)</f>
        <v>0.82325925925925925</v>
      </c>
      <c r="D21" s="40">
        <f>IFERROR(('Historical Financial Statement '!D18-'Historical Financial Statement '!D24)/(SUM('Historical Financial Statement '!D48:D50)),0)</f>
        <v>0.83976641504059246</v>
      </c>
      <c r="E21" s="40">
        <f>IFERROR(('Historical Financial Statement '!E18-'Historical Financial Statement '!E24)/(SUM('Historical Financial Statement '!E48:E50)),0)</f>
        <v>0.95852218101909081</v>
      </c>
      <c r="F21" s="40">
        <f>IFERROR(('Historical Financial Statement '!F18-'Historical Financial Statement '!F24)/(SUM('Historical Financial Statement '!F48:F50)),0)</f>
        <v>1.0438111975897564</v>
      </c>
      <c r="G21" s="40">
        <f>IFERROR(('Historical Financial Statement '!G18-'Historical Financial Statement '!G24)/(SUM('Historical Financial Statement '!G48:G50)),0)</f>
        <v>1.0765585125774699</v>
      </c>
      <c r="H21" s="40">
        <f>IFERROR(('Historical Financial Statement '!H18-'Historical Financial Statement '!H24)/(SUM('Historical Financial Statement '!H48:H50)),0)</f>
        <v>0.22133657758946176</v>
      </c>
      <c r="I21" s="40">
        <f>IFERROR(('Historical Financial Statement '!I18-'Historical Financial Statement '!I24)/(SUM('Historical Financial Statement '!I48:I50)),0)</f>
        <v>0.23483155037521955</v>
      </c>
      <c r="J21" s="40">
        <f>IFERROR(('Historical Financial Statement '!J18-'Historical Financial Statement '!J24)/(SUM('Historical Financial Statement '!J48:J50)),0)</f>
        <v>0.25250858839741475</v>
      </c>
      <c r="K21" s="40">
        <f>IFERROR(('Historical Financial Statement '!K18-'Historical Financial Statement '!K24)/(SUM('Historical Financial Statement '!K48:K50)),0)</f>
        <v>0.25507570870175705</v>
      </c>
      <c r="L21" s="40">
        <f>IFERROR(('Historical Financial Statement '!L18-'Historical Financial Statement '!L24)/(SUM('Historical Financial Statement '!L48:L50)),0)</f>
        <v>0.26421155729676787</v>
      </c>
      <c r="M21" s="35"/>
      <c r="N21" s="40">
        <f>IFERROR(AVERAGE(C21:L21),0)</f>
        <v>0.59698815478467915</v>
      </c>
      <c r="O21" s="40">
        <f t="shared" si="1"/>
        <v>0.54373540827801348</v>
      </c>
    </row>
    <row r="22" spans="2:15" x14ac:dyDescent="0.3">
      <c r="B22" t="s">
        <v>142</v>
      </c>
      <c r="C22" s="41">
        <f>IFERROR('Historical Financial Statement '!C44,0)</f>
        <v>5.7025920873124192E-2</v>
      </c>
      <c r="D22" s="41">
        <f>IFERROR('Historical Financial Statement '!D44,0)</f>
        <v>5.4582904222451045E-2</v>
      </c>
      <c r="E22" s="41">
        <f>IFERROR('Historical Financial Statement '!E44,0)</f>
        <v>0.11366434140336479</v>
      </c>
      <c r="F22" s="41">
        <f>IFERROR('Historical Financial Statement '!F44,0)</f>
        <v>0.17183687696061345</v>
      </c>
      <c r="G22" s="41">
        <f>IFERROR('Historical Financial Statement '!G44,0)</f>
        <v>0.14718888186986734</v>
      </c>
      <c r="H22" s="41">
        <f>IFERROR('Historical Financial Statement '!H44,0)</f>
        <v>0</v>
      </c>
      <c r="I22" s="41">
        <f>IFERROR('Historical Financial Statement '!I44,0)</f>
        <v>7.8750144125446675E-2</v>
      </c>
      <c r="J22" s="41">
        <f>IFERROR('Historical Financial Statement '!J44,0)</f>
        <v>5.4667354306343507E-2</v>
      </c>
      <c r="K22" s="41">
        <f>IFERROR('Historical Financial Statement '!K44,0)</f>
        <v>0</v>
      </c>
      <c r="L22" s="41">
        <f>IFERROR('Historical Financial Statement '!L44,0)</f>
        <v>0</v>
      </c>
      <c r="N22" s="41">
        <f t="shared" ref="N22:N40" si="4">IFERROR(AVERAGE(C22:L22),0)</f>
        <v>6.77716423761211E-2</v>
      </c>
      <c r="O22" s="41">
        <f t="shared" si="1"/>
        <v>5.584663758973385E-2</v>
      </c>
    </row>
    <row r="23" spans="2:15" x14ac:dyDescent="0.3">
      <c r="B23" t="s">
        <v>143</v>
      </c>
      <c r="C23" s="41">
        <f>IFERROR('Historical Financial Statement '!C33/(SUM('Historical Financial Statement '!C48:C49)),0)</f>
        <v>0.55758405598661187</v>
      </c>
      <c r="D23" s="41">
        <f>IFERROR('Historical Financial Statement '!D33/(SUM('Historical Financial Statement '!D48:D49)),0)</f>
        <v>0.57591933570581255</v>
      </c>
      <c r="E23" s="41">
        <f>IFERROR('Historical Financial Statement '!E33/(SUM('Historical Financial Statement '!E48:E49)),0)</f>
        <v>0.6694135420958659</v>
      </c>
      <c r="F23" s="41">
        <f>IFERROR('Historical Financial Statement '!F33/(SUM('Historical Financial Statement '!F48:F49)),0)</f>
        <v>0.72937587390364811</v>
      </c>
      <c r="G23" s="41">
        <f>IFERROR('Historical Financial Statement '!G33/(SUM('Historical Financial Statement '!G48:G49)),0)</f>
        <v>0.76947381212784061</v>
      </c>
      <c r="H23" s="41">
        <f>IFERROR('Historical Financial Statement '!H33/(SUM('Historical Financial Statement '!H48:H49)),0)</f>
        <v>0.16421949070772329</v>
      </c>
      <c r="I23" s="41">
        <f>IFERROR('Historical Financial Statement '!I33/(SUM('Historical Financial Statement '!I48:I49)),0)</f>
        <v>0.1767799270296162</v>
      </c>
      <c r="J23" s="41">
        <f>IFERROR('Historical Financial Statement '!J33/(SUM('Historical Financial Statement '!J48:J49)),0)</f>
        <v>0.19272821246819338</v>
      </c>
      <c r="K23" s="41">
        <f>IFERROR('Historical Financial Statement '!K33/(SUM('Historical Financial Statement '!K48:K49)),0)</f>
        <v>0.18479831309305322</v>
      </c>
      <c r="L23" s="41">
        <f>IFERROR('Historical Financial Statement '!L33/(SUM('Historical Financial Statement '!L48:L49)),0)</f>
        <v>0.18924335047164081</v>
      </c>
      <c r="N23" s="41">
        <f t="shared" si="4"/>
        <v>0.42095359135900062</v>
      </c>
      <c r="O23" s="41">
        <f t="shared" si="1"/>
        <v>0.37515613422740263</v>
      </c>
    </row>
    <row r="24" spans="2:15" x14ac:dyDescent="0.3">
      <c r="B24" t="s">
        <v>141</v>
      </c>
      <c r="C24" s="41">
        <f>IFERROR(C22*C23,0)</f>
        <v>3.1796744256808181E-2</v>
      </c>
      <c r="D24" s="41">
        <f t="shared" ref="D24:L24" si="5">IFERROR(D22*D23,0)</f>
        <v>3.1435349940687994E-2</v>
      </c>
      <c r="E24" s="41">
        <f t="shared" si="5"/>
        <v>7.6088449388820215E-2</v>
      </c>
      <c r="F24" s="41">
        <f t="shared" si="5"/>
        <v>0.12533367230202108</v>
      </c>
      <c r="G24" s="41">
        <f t="shared" si="5"/>
        <v>0.11325799003524123</v>
      </c>
      <c r="H24" s="41">
        <f t="shared" si="5"/>
        <v>0</v>
      </c>
      <c r="I24" s="41">
        <f t="shared" si="5"/>
        <v>1.3921444732068222E-2</v>
      </c>
      <c r="J24" s="41">
        <f t="shared" si="5"/>
        <v>1.0535941475826979E-2</v>
      </c>
      <c r="K24" s="41">
        <f t="shared" si="5"/>
        <v>0</v>
      </c>
      <c r="L24" s="41">
        <f t="shared" si="5"/>
        <v>0</v>
      </c>
      <c r="N24" s="41">
        <f t="shared" si="4"/>
        <v>4.0236959213147391E-2</v>
      </c>
      <c r="O24" s="41">
        <f t="shared" si="1"/>
        <v>2.2678397336378109E-2</v>
      </c>
    </row>
    <row r="25" spans="2:15" ht="13.8" customHeight="1" x14ac:dyDescent="0.3">
      <c r="B25" s="43" t="s">
        <v>144</v>
      </c>
      <c r="C25" s="44">
        <f>IFERROR(('Historical Financial Statement '!C18-'Historical Financial Statement '!C24)/'Historical Financial Statement '!C21,0)</f>
        <v>326.88235294117646</v>
      </c>
      <c r="D25" s="44">
        <f>IFERROR(('Historical Financial Statement '!D18-'Historical Financial Statement '!D24)/'Historical Financial Statement '!D21,0)</f>
        <v>168.45714285714286</v>
      </c>
      <c r="E25" s="44">
        <f>IFERROR(('Historical Financial Statement '!E18-'Historical Financial Statement '!E24)/'Historical Financial Statement '!E21,0)</f>
        <v>268.42307692307691</v>
      </c>
      <c r="F25" s="44">
        <f>IFERROR(('Historical Financial Statement '!F18-'Historical Financial Statement '!F24)/'Historical Financial Statement '!F21,0)</f>
        <v>251.96969696969697</v>
      </c>
      <c r="G25" s="44">
        <f>IFERROR(('Historical Financial Statement '!G18-'Historical Financial Statement '!G24)/'Historical Financial Statement '!G21,0)</f>
        <v>75.076271186440678</v>
      </c>
      <c r="H25" s="44">
        <f>IFERROR(('Historical Financial Statement '!H18-'Historical Financial Statement '!H24)/'Historical Financial Statement '!H21,0)</f>
        <v>90.188034188034194</v>
      </c>
      <c r="I25" s="44">
        <f>IFERROR(('Historical Financial Statement '!I18-'Historical Financial Statement '!I24)/'Historical Financial Statement '!I21,0)</f>
        <v>111</v>
      </c>
      <c r="J25" s="44">
        <f>IFERROR(('Historical Financial Statement '!J18-'Historical Financial Statement '!J24)/'Historical Financial Statement '!J21,0)</f>
        <v>114.12280701754386</v>
      </c>
      <c r="K25" s="44">
        <f>IFERROR(('Historical Financial Statement '!K18-'Historical Financial Statement '!K24)/'Historical Financial Statement '!K21,0)</f>
        <v>40.248502994011979</v>
      </c>
      <c r="L25" s="44">
        <f>IFERROR(('Historical Financial Statement '!L18-'Historical Financial Statement '!L24)/'Historical Financial Statement '!L21,0)</f>
        <v>34.146835443037972</v>
      </c>
      <c r="M25" s="38"/>
      <c r="N25" s="42">
        <f t="shared" si="4"/>
        <v>148.05147205201621</v>
      </c>
      <c r="O25" s="42">
        <f t="shared" si="1"/>
        <v>112.56140350877193</v>
      </c>
    </row>
    <row r="26" spans="2:15" x14ac:dyDescent="0.3">
      <c r="O26" s="34"/>
    </row>
    <row r="27" spans="2:15" x14ac:dyDescent="0.3">
      <c r="B27" s="35" t="s">
        <v>145</v>
      </c>
      <c r="C27" s="45">
        <f>IFERROR('Historical Financial Statement '!C6/'Historical Financial Statement '!C60,0)</f>
        <v>25.463607594936708</v>
      </c>
      <c r="D27" s="45">
        <f>IFERROR('Historical Financial Statement '!D6/'Historical Financial Statement '!D60,0)</f>
        <v>30.56405529953917</v>
      </c>
      <c r="E27" s="45">
        <f>IFERROR('Historical Financial Statement '!E6/'Historical Financial Statement '!E60,0)</f>
        <v>27.133587786259543</v>
      </c>
      <c r="F27" s="45">
        <f>IFERROR('Historical Financial Statement '!F6/'Historical Financial Statement '!F60,0)</f>
        <v>21.646475770925111</v>
      </c>
      <c r="G27" s="45">
        <f>IFERROR('Historical Financial Statement '!G6/'Historical Financial Statement '!G60,0)</f>
        <v>34.624020887728463</v>
      </c>
      <c r="H27" s="45">
        <f>IFERROR('Historical Financial Statement '!H6/'Historical Financial Statement '!H60,0)</f>
        <v>26.750853242320819</v>
      </c>
      <c r="I27" s="45">
        <f>IFERROR('Historical Financial Statement '!I6/'Historical Financial Statement '!I60,0)</f>
        <v>23.455277280858677</v>
      </c>
      <c r="J27" s="45">
        <f>IFERROR('Historical Financial Statement '!J6/'Historical Financial Statement '!J60,0)</f>
        <v>19.67521922702176</v>
      </c>
      <c r="K27" s="45">
        <f>IFERROR('Historical Financial Statement '!K6/'Historical Financial Statement '!K60,0)</f>
        <v>20.652652652652652</v>
      </c>
      <c r="L27" s="45">
        <f>IFERROR('Historical Financial Statement '!L6/'Historical Financial Statement '!L60,0)</f>
        <v>16.52814873003404</v>
      </c>
      <c r="M27" s="35"/>
      <c r="N27" s="45">
        <f t="shared" si="4"/>
        <v>24.649389847227695</v>
      </c>
      <c r="O27" s="45">
        <f t="shared" si="1"/>
        <v>24.459442437897692</v>
      </c>
    </row>
    <row r="28" spans="2:15" x14ac:dyDescent="0.3">
      <c r="B28" t="s">
        <v>149</v>
      </c>
      <c r="C28" s="46">
        <f>IFERROR('Historical Financial Statement '!C6/'Historical Financial Statement '!C51,0)</f>
        <v>4.0017406440382945</v>
      </c>
      <c r="D28" s="46">
        <f>IFERROR('Historical Financial Statement '!D6/'Historical Financial Statement '!D51,0)</f>
        <v>3.818307426597582</v>
      </c>
      <c r="E28" s="46">
        <f>IFERROR('Historical Financial Statement '!E6/'Historical Financial Statement '!E51,0)</f>
        <v>3.3593233153766184</v>
      </c>
      <c r="F28" s="46">
        <f>IFERROR('Historical Financial Statement '!F6/'Historical Financial Statement '!F51,0)</f>
        <v>3.6865797617931162</v>
      </c>
      <c r="G28" s="46">
        <f>IFERROR('Historical Financial Statement '!G6/'Historical Financial Statement '!G51,0)</f>
        <v>3.3363804092586382</v>
      </c>
      <c r="H28" s="46">
        <f>IFERROR('Historical Financial Statement '!H6/'Historical Financial Statement '!H51,0)</f>
        <v>2.2324124181144973</v>
      </c>
      <c r="I28" s="46">
        <f>IFERROR('Historical Financial Statement '!I6/'Historical Financial Statement '!I51,0)</f>
        <v>2.5706303303597688</v>
      </c>
      <c r="J28" s="46">
        <f>IFERROR('Historical Financial Statement '!J6/'Historical Financial Statement '!J51,0)</f>
        <v>2.8106151990349817</v>
      </c>
      <c r="K28" s="46">
        <f>IFERROR('Historical Financial Statement '!K6/'Historical Financial Statement '!K51,0)</f>
        <v>2.4002792104548805</v>
      </c>
      <c r="L28" s="46">
        <f>IFERROR('Historical Financial Statement '!L6/'Historical Financial Statement '!L51,0)</f>
        <v>2.1907125255960853</v>
      </c>
      <c r="N28" s="46">
        <f t="shared" si="4"/>
        <v>3.040698124062446</v>
      </c>
      <c r="O28" s="46">
        <f t="shared" si="1"/>
        <v>3.0734978041468102</v>
      </c>
    </row>
    <row r="29" spans="2:15" x14ac:dyDescent="0.3">
      <c r="B29" t="s">
        <v>146</v>
      </c>
      <c r="C29" s="46">
        <f>IFERROR('Historical Financial Statement '!C6/'Historical Financial Statement '!C61,0)</f>
        <v>11.807043286867204</v>
      </c>
      <c r="D29" s="46">
        <f>IFERROR('Historical Financial Statement '!D6/'Historical Financial Statement '!D61,0)</f>
        <v>13.050767414403778</v>
      </c>
      <c r="E29" s="46">
        <f>IFERROR('Historical Financial Statement '!E6/'Historical Financial Statement '!E61,0)</f>
        <v>14.144448865897333</v>
      </c>
      <c r="F29" s="46">
        <f>IFERROR('Historical Financial Statement '!F6/'Historical Financial Statement '!F61,0)</f>
        <v>15.271950271950272</v>
      </c>
      <c r="G29" s="46">
        <f>IFERROR('Historical Financial Statement '!G6/'Historical Financial Statement '!G61,0)</f>
        <v>14.377665341525118</v>
      </c>
      <c r="H29" s="46">
        <f>IFERROR('Historical Financial Statement '!H6/'Historical Financial Statement '!H61,0)</f>
        <v>13.139983235540655</v>
      </c>
      <c r="I29" s="46">
        <f>IFERROR('Historical Financial Statement '!I6/'Historical Financial Statement '!I61,0)</f>
        <v>12.80419921875</v>
      </c>
      <c r="J29" s="46">
        <f>IFERROR('Historical Financial Statement '!J6/'Historical Financial Statement '!J61,0)</f>
        <v>14.250764525993883</v>
      </c>
      <c r="K29" s="46">
        <f>IFERROR('Historical Financial Statement '!K6/'Historical Financial Statement '!K61,0)</f>
        <v>15.389358528095475</v>
      </c>
      <c r="L29" s="46">
        <f>IFERROR('Historical Financial Statement '!L6/'Historical Financial Statement '!L61,0)</f>
        <v>14.296942242355605</v>
      </c>
      <c r="N29" s="46">
        <f t="shared" si="4"/>
        <v>13.853312293137932</v>
      </c>
      <c r="O29" s="46">
        <f t="shared" si="1"/>
        <v>14.197606695945609</v>
      </c>
    </row>
    <row r="30" spans="2:15" x14ac:dyDescent="0.3">
      <c r="B30" t="s">
        <v>147</v>
      </c>
      <c r="C30" s="46">
        <f>IFERROR('Historical Financial Statement '!C6/'Historical Financial Statement '!C54,0)</f>
        <v>9.8790669122160839</v>
      </c>
      <c r="D30" s="46">
        <f>IFERROR('Historical Financial Statement '!D6/'Historical Financial Statement '!D54,0)</f>
        <v>7.5044127630685677</v>
      </c>
      <c r="E30" s="46">
        <f>IFERROR('Historical Financial Statement '!E6/'Historical Financial Statement '!E54,0)</f>
        <v>7.8500441696113077</v>
      </c>
      <c r="F30" s="46">
        <f>IFERROR('Historical Financial Statement '!F6/'Historical Financial Statement '!F54,0)</f>
        <v>8.3372216330858961</v>
      </c>
      <c r="G30" s="46">
        <f>IFERROR('Historical Financial Statement '!G6/'Historical Financial Statement '!G54,0)</f>
        <v>7.2609965322139081</v>
      </c>
      <c r="H30" s="46">
        <f>IFERROR('Historical Financial Statement '!H6/'Historical Financial Statement '!H54,0)</f>
        <v>0.91417685593763975</v>
      </c>
      <c r="I30" s="46">
        <f>IFERROR('Historical Financial Statement '!I6/'Historical Financial Statement '!I54,0)</f>
        <v>1.018903114254075</v>
      </c>
      <c r="J30" s="46">
        <f>IFERROR('Historical Financial Statement '!J6/'Historical Financial Statement '!J54,0)</f>
        <v>1.1500056949770303</v>
      </c>
      <c r="K30" s="46">
        <f>IFERROR('Historical Financial Statement '!K6/'Historical Financial Statement '!K54,0)</f>
        <v>1.1516820482286394</v>
      </c>
      <c r="L30" s="46">
        <f>IFERROR('Historical Financial Statement '!L6/'Historical Financial Statement '!L54,0)</f>
        <v>1.1617005613324745</v>
      </c>
      <c r="N30" s="46">
        <f t="shared" si="4"/>
        <v>4.6228210284925622</v>
      </c>
      <c r="O30" s="46">
        <f t="shared" si="1"/>
        <v>4.2113485467731913</v>
      </c>
    </row>
    <row r="31" spans="2:15" x14ac:dyDescent="0.3">
      <c r="B31" s="38" t="s">
        <v>148</v>
      </c>
      <c r="C31" s="44">
        <f>IFERROR('Historical Financial Statement '!C6/SUM('Historical Financial Statement '!C48:C49),0)</f>
        <v>4.8966986155484555</v>
      </c>
      <c r="D31" s="44">
        <f>IFERROR('Historical Financial Statement '!D6/SUM('Historical Financial Statement '!D48:D49),0)</f>
        <v>4.9172597864768681</v>
      </c>
      <c r="E31" s="44">
        <f>IFERROR('Historical Financial Statement '!E6/SUM('Historical Financial Statement '!E48:E49),0)</f>
        <v>4.8818843565444308</v>
      </c>
      <c r="F31" s="44">
        <f>IFERROR('Historical Financial Statement '!F6/SUM('Historical Financial Statement '!F48:F49),0)</f>
        <v>4.9968221685521801</v>
      </c>
      <c r="G31" s="44">
        <f>IFERROR('Historical Financial Statement '!G6/SUM('Historical Financial Statement '!G48:G49),0)</f>
        <v>4.8344877870944218</v>
      </c>
      <c r="H31" s="44">
        <f>IFERROR('Historical Financial Statement '!H6/SUM('Historical Financial Statement '!H48:H49),0)</f>
        <v>0.98644963711876499</v>
      </c>
      <c r="I31" s="44">
        <f>IFERROR('Historical Financial Statement '!I6/SUM('Historical Financial Statement '!I48:I49),0)</f>
        <v>1.0689957399971464</v>
      </c>
      <c r="J31" s="44">
        <f>IFERROR('Historical Financial Statement '!J6/SUM('Historical Financial Statement '!J48:J49),0)</f>
        <v>1.2042779898218829</v>
      </c>
      <c r="K31" s="44">
        <f>IFERROR('Historical Financial Statement '!K6/SUM('Historical Financial Statement '!K48:K49),0)</f>
        <v>1.2084813932601819</v>
      </c>
      <c r="L31" s="44">
        <f>IFERROR('Historical Financial Statement '!L6/SUM('Historical Financial Statement '!L48:L49),0)</f>
        <v>1.2777013076393668</v>
      </c>
      <c r="M31" s="38"/>
      <c r="N31" s="44">
        <f t="shared" si="4"/>
        <v>3.0273058782053694</v>
      </c>
      <c r="O31" s="44">
        <f t="shared" si="1"/>
        <v>3.0560945473668943</v>
      </c>
    </row>
    <row r="32" spans="2:15" x14ac:dyDescent="0.3">
      <c r="O32" s="34"/>
    </row>
    <row r="33" spans="2:15" x14ac:dyDescent="0.3">
      <c r="B33" s="35" t="s">
        <v>150</v>
      </c>
      <c r="C33" s="52">
        <f>IFERROR(365/'Ratio Analysis'!C27,0)</f>
        <v>14.334182563847637</v>
      </c>
      <c r="D33" s="52">
        <f>IFERROR(365/'Ratio Analysis'!D27,0)</f>
        <v>11.942132561365419</v>
      </c>
      <c r="E33" s="52">
        <f>IFERROR(365/'Ratio Analysis'!E27,0)</f>
        <v>13.4519623013082</v>
      </c>
      <c r="F33" s="52">
        <f>IFERROR(365/'Ratio Analysis'!F27,0)</f>
        <v>16.861867209361485</v>
      </c>
      <c r="G33" s="52">
        <f>IFERROR(365/'Ratio Analysis'!G27,0)</f>
        <v>10.541814342809742</v>
      </c>
      <c r="H33" s="52">
        <f>IFERROR(365/'Ratio Analysis'!H27,0)</f>
        <v>13.644424598111764</v>
      </c>
      <c r="I33" s="52">
        <f>IFERROR(365/'Ratio Analysis'!I27,0)</f>
        <v>15.561529954619989</v>
      </c>
      <c r="J33" s="52">
        <f>IFERROR(365/'Ratio Analysis'!J27,0)</f>
        <v>18.551254539451964</v>
      </c>
      <c r="K33" s="52">
        <f>IFERROR(365/'Ratio Analysis'!K27,0)</f>
        <v>17.673274525009695</v>
      </c>
      <c r="L33" s="52">
        <f>IFERROR(365/'Ratio Analysis'!L27,0)</f>
        <v>22.08353796676225</v>
      </c>
      <c r="M33" s="35"/>
      <c r="N33" s="52">
        <f t="shared" si="4"/>
        <v>15.464598056264816</v>
      </c>
      <c r="O33" s="52">
        <f t="shared" si="1"/>
        <v>14.947856259233813</v>
      </c>
    </row>
    <row r="34" spans="2:15" x14ac:dyDescent="0.3">
      <c r="B34" t="s">
        <v>152</v>
      </c>
      <c r="C34" s="47">
        <f t="shared" ref="C34:L34" si="6">IFERROR(365/C28,0)</f>
        <v>91.210308829926049</v>
      </c>
      <c r="D34" s="47">
        <f t="shared" si="6"/>
        <v>95.592093359869736</v>
      </c>
      <c r="E34" s="47">
        <f t="shared" si="6"/>
        <v>108.65283443522296</v>
      </c>
      <c r="F34" s="47">
        <f t="shared" si="6"/>
        <v>99.007758839989833</v>
      </c>
      <c r="G34" s="47">
        <f t="shared" si="6"/>
        <v>109.39999497272704</v>
      </c>
      <c r="H34" s="47">
        <f t="shared" si="6"/>
        <v>163.50025516713447</v>
      </c>
      <c r="I34" s="47">
        <f t="shared" si="6"/>
        <v>141.98852152690384</v>
      </c>
      <c r="J34" s="47">
        <f t="shared" si="6"/>
        <v>129.86480686695279</v>
      </c>
      <c r="K34" s="47">
        <f t="shared" si="6"/>
        <v>152.06564236784283</v>
      </c>
      <c r="L34" s="47">
        <f t="shared" si="6"/>
        <v>166.61245861123871</v>
      </c>
      <c r="N34" s="47">
        <f t="shared" si="4"/>
        <v>125.78946749778083</v>
      </c>
      <c r="O34" s="47">
        <f t="shared" si="1"/>
        <v>119.63240091983991</v>
      </c>
    </row>
    <row r="35" spans="2:15" x14ac:dyDescent="0.3">
      <c r="B35" t="s">
        <v>151</v>
      </c>
      <c r="C35" s="47">
        <f t="shared" ref="C35:L35" si="7">IFERROR(365/C29,0)</f>
        <v>30.913751320449887</v>
      </c>
      <c r="D35" s="47">
        <f t="shared" si="7"/>
        <v>27.967703998552562</v>
      </c>
      <c r="E35" s="47">
        <f t="shared" si="7"/>
        <v>25.805176536784359</v>
      </c>
      <c r="F35" s="47">
        <f t="shared" si="7"/>
        <v>23.90002543881964</v>
      </c>
      <c r="G35" s="47">
        <f t="shared" si="7"/>
        <v>25.386597290299875</v>
      </c>
      <c r="H35" s="47">
        <f t="shared" si="7"/>
        <v>27.777813217657563</v>
      </c>
      <c r="I35" s="47">
        <f t="shared" si="7"/>
        <v>28.506273119017656</v>
      </c>
      <c r="J35" s="47">
        <f t="shared" si="7"/>
        <v>25.612660944206009</v>
      </c>
      <c r="K35" s="47">
        <f t="shared" si="7"/>
        <v>23.717687734263926</v>
      </c>
      <c r="L35" s="47">
        <f t="shared" si="7"/>
        <v>25.529934570111376</v>
      </c>
      <c r="N35" s="47">
        <f t="shared" si="4"/>
        <v>26.511762417016286</v>
      </c>
      <c r="O35" s="47">
        <f t="shared" si="1"/>
        <v>25.708918740495186</v>
      </c>
    </row>
    <row r="36" spans="2:15" x14ac:dyDescent="0.3">
      <c r="B36" s="38" t="s">
        <v>156</v>
      </c>
      <c r="C36" s="48">
        <f>IFERROR(SUM(C33,C35)-C34,0)</f>
        <v>-45.962374945628525</v>
      </c>
      <c r="D36" s="48">
        <f t="shared" ref="D36:L36" si="8">IFERROR(SUM(D33,D35)-D34,0)</f>
        <v>-55.682256799951759</v>
      </c>
      <c r="E36" s="48">
        <f t="shared" si="8"/>
        <v>-69.395695597130398</v>
      </c>
      <c r="F36" s="48">
        <f t="shared" si="8"/>
        <v>-58.245866191808709</v>
      </c>
      <c r="G36" s="48">
        <f t="shared" si="8"/>
        <v>-73.471583339617425</v>
      </c>
      <c r="H36" s="48">
        <f t="shared" si="8"/>
        <v>-122.07801735136513</v>
      </c>
      <c r="I36" s="48">
        <f t="shared" si="8"/>
        <v>-97.92071845326619</v>
      </c>
      <c r="J36" s="48">
        <f t="shared" si="8"/>
        <v>-85.700891383294817</v>
      </c>
      <c r="K36" s="48">
        <f t="shared" si="8"/>
        <v>-110.67468010856921</v>
      </c>
      <c r="L36" s="48">
        <f t="shared" si="8"/>
        <v>-118.99898607436508</v>
      </c>
      <c r="M36" s="38"/>
      <c r="N36" s="48">
        <f t="shared" si="4"/>
        <v>-83.813107024499715</v>
      </c>
      <c r="O36" s="48">
        <f t="shared" si="1"/>
        <v>-79.586237361456114</v>
      </c>
    </row>
    <row r="37" spans="2:15" x14ac:dyDescent="0.3">
      <c r="O37" s="34"/>
    </row>
    <row r="38" spans="2:15" x14ac:dyDescent="0.3">
      <c r="B38" s="35" t="s">
        <v>153</v>
      </c>
      <c r="C38" s="49">
        <f>IFERROR('Historical Financial Statement '!C83/'Historical Financial Statement '!C6,0)</f>
        <v>0.12707388305474429</v>
      </c>
      <c r="D38" s="49">
        <f>IFERROR('Historical Financial Statement '!D83/'Historical Financial Statement '!D6,0)</f>
        <v>0.17342138592364756</v>
      </c>
      <c r="E38" s="49">
        <f>IFERROR('Historical Financial Statement '!E83/'Historical Financial Statement '!E6,0)</f>
        <v>0.19397946265297511</v>
      </c>
      <c r="F38" s="49">
        <f>IFERROR('Historical Financial Statement '!F83/'Historical Financial Statement '!F6,0)</f>
        <v>0.1388450775883999</v>
      </c>
      <c r="G38" s="49">
        <f>IFERROR('Historical Financial Statement '!G83/'Historical Financial Statement '!G6,0)</f>
        <v>0.20194555463388886</v>
      </c>
      <c r="H38" s="49">
        <f>IFERROR('Historical Financial Statement '!H83/'Historical Financial Statement '!H6,0)</f>
        <v>0.19269371438292082</v>
      </c>
      <c r="I38" s="49">
        <f>IFERROR('Historical Financial Statement '!I83/'Historical Financial Statement '!I6,0)</f>
        <v>0.15345307554436946</v>
      </c>
      <c r="J38" s="49">
        <f>IFERROR('Historical Financial Statement '!J83/'Historical Financial Statement '!J6,0)</f>
        <v>0.14907560250907889</v>
      </c>
      <c r="K38" s="49">
        <f>IFERROR('Historical Financial Statement '!K83/'Historical Financial Statement '!K6,0)</f>
        <v>0.27113222179139201</v>
      </c>
      <c r="L38" s="49">
        <f>IFERROR('Historical Financial Statement '!L83/'Historical Financial Statement '!L6,0)</f>
        <v>0.17582104212544161</v>
      </c>
      <c r="M38" s="35"/>
      <c r="N38" s="40">
        <f t="shared" si="4"/>
        <v>0.17774410202068586</v>
      </c>
      <c r="O38" s="40">
        <f t="shared" si="1"/>
        <v>0.17462121402454459</v>
      </c>
    </row>
    <row r="39" spans="2:15" x14ac:dyDescent="0.3">
      <c r="B39" t="s">
        <v>154</v>
      </c>
      <c r="C39" s="50">
        <f>IFERROR('Historical Financial Statement '!C83/'Historical Financial Statement '!C65,0)</f>
        <v>0.27648211992158456</v>
      </c>
      <c r="D39" s="50">
        <f>IFERROR('Historical Financial Statement '!D83/'Historical Financial Statement '!D65,0)</f>
        <v>0.36616579651088754</v>
      </c>
      <c r="E39" s="50">
        <f>IFERROR('Historical Financial Statement '!E83/'Historical Financial Statement '!E65,0)</f>
        <v>0.38601500391893406</v>
      </c>
      <c r="F39" s="50">
        <f>IFERROR('Historical Financial Statement '!F83/'Historical Financial Statement '!F65,0)</f>
        <v>0.29298405711525044</v>
      </c>
      <c r="G39" s="50">
        <f>IFERROR('Historical Financial Statement '!G83/'Historical Financial Statement '!G65,0)</f>
        <v>0.39865032501364561</v>
      </c>
      <c r="H39" s="50">
        <f>IFERROR('Historical Financial Statement '!H83/'Historical Financial Statement '!H65,0)</f>
        <v>0.13183008437590923</v>
      </c>
      <c r="I39" s="50">
        <f>IFERROR('Historical Financial Statement '!I83/'Historical Financial Statement '!I65,0)</f>
        <v>0.1141463137888974</v>
      </c>
      <c r="J39" s="50">
        <f>IFERROR('Historical Financial Statement '!J83/'Historical Financial Statement '!J65,0)</f>
        <v>0.12358197517686824</v>
      </c>
      <c r="K39" s="50">
        <f>IFERROR('Historical Financial Statement '!K83/'Historical Financial Statement '!K65,0)</f>
        <v>0.21381340060390627</v>
      </c>
      <c r="L39" s="50">
        <f>IFERROR('Historical Financial Statement '!L83/'Historical Financial Statement '!L65,0)</f>
        <v>0.13896297409313449</v>
      </c>
      <c r="N39" s="41">
        <f t="shared" si="4"/>
        <v>0.24426320505190174</v>
      </c>
      <c r="O39" s="41">
        <f t="shared" si="1"/>
        <v>0.24514776026274543</v>
      </c>
    </row>
    <row r="40" spans="2:15" x14ac:dyDescent="0.3">
      <c r="B40" s="38" t="s">
        <v>155</v>
      </c>
      <c r="C40" s="51">
        <f>IFERROR('Historical Financial Statement '!C83/'Historical Financial Statement '!C50,0)</f>
        <v>23.10734463276836</v>
      </c>
      <c r="D40" s="51">
        <f>IFERROR('Historical Financial Statement '!D83/'Historical Financial Statement '!D50,0)</f>
        <v>20.76173285198556</v>
      </c>
      <c r="E40" s="51">
        <f>IFERROR('Historical Financial Statement '!E83/'Historical Financial Statement '!E50,0)</f>
        <v>0</v>
      </c>
      <c r="F40" s="51">
        <f>IFERROR('Historical Financial Statement '!F83/'Historical Financial Statement '!F50,0)</f>
        <v>55.131313131313128</v>
      </c>
      <c r="G40" s="51">
        <f>IFERROR('Historical Financial Statement '!G83/'Historical Financial Statement '!G50,0)</f>
        <v>0</v>
      </c>
      <c r="H40" s="51">
        <f>IFERROR('Historical Financial Statement '!H83/'Historical Financial Statement '!H50,0)</f>
        <v>0</v>
      </c>
      <c r="I40" s="51">
        <f>IFERROR('Historical Financial Statement '!I83/'Historical Financial Statement '!I50,0)</f>
        <v>7.7162032598274211</v>
      </c>
      <c r="J40" s="51">
        <f>IFERROR('Historical Financial Statement '!J83/'Historical Financial Statement '!J50,0)</f>
        <v>7.4085315832649714</v>
      </c>
      <c r="K40" s="51">
        <f>IFERROR('Historical Financial Statement '!K83/'Historical Financial Statement '!K50,0)</f>
        <v>11.308625336927223</v>
      </c>
      <c r="L40" s="51">
        <f>IFERROR('Historical Financial Statement '!L83/'Historical Financial Statement '!L50,0)</f>
        <v>6.7342233009708741</v>
      </c>
      <c r="M40" s="38"/>
      <c r="N40" s="42">
        <f t="shared" si="4"/>
        <v>13.216797409705753</v>
      </c>
      <c r="O40" s="42">
        <f t="shared" si="1"/>
        <v>7.5623674215461962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9E6D8F92-75A0-4A82-8243-998FD86637C3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9729D31D-A20C-4E38-AACD-BCDA6B02DD3C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0FEE-C5C5-4F6B-9ACA-4D89936ED7FD}">
  <sheetPr>
    <tabColor theme="7" tint="-0.249977111117893"/>
    <pageSetUpPr autoPageBreaks="0"/>
  </sheetPr>
  <dimension ref="A2:N132"/>
  <sheetViews>
    <sheetView showGridLines="0" zoomScale="128" zoomScaleNormal="107" workbookViewId="0">
      <pane ySplit="3" topLeftCell="A105" activePane="bottomLeft" state="frozen"/>
      <selection pane="bottomLeft" activeCell="I118" sqref="I118"/>
    </sheetView>
  </sheetViews>
  <sheetFormatPr defaultRowHeight="14.4" outlineLevelRow="1" x14ac:dyDescent="0.3"/>
  <cols>
    <col min="1" max="1" width="1.88671875" customWidth="1"/>
    <col min="2" max="2" width="28" bestFit="1" customWidth="1"/>
    <col min="3" max="13" width="15.88671875" customWidth="1"/>
  </cols>
  <sheetData>
    <row r="2" spans="1:13" x14ac:dyDescent="0.3">
      <c r="B2" s="65" t="str">
        <f>"Historical Financial Statement - "&amp;'Data Sheet'!B1</f>
        <v>Historical Financial Statement - HINDUSTAN UNILEVER LTD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x14ac:dyDescent="0.3">
      <c r="B3" s="9" t="s">
        <v>54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2" t="s">
        <v>57</v>
      </c>
    </row>
    <row r="4" spans="1:13" s="18" customFormat="1" x14ac:dyDescent="0.3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3" x14ac:dyDescent="0.3">
      <c r="A5" s="17" t="s">
        <v>56</v>
      </c>
      <c r="B5" s="22" t="s">
        <v>55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outlineLevel="1" x14ac:dyDescent="0.3">
      <c r="B6" t="s">
        <v>1</v>
      </c>
      <c r="C6" s="11">
        <f>IFERROR('Data Sheet'!B17,0)</f>
        <v>32186</v>
      </c>
      <c r="D6" s="11">
        <f>IFERROR('Data Sheet'!C17,0)</f>
        <v>33162</v>
      </c>
      <c r="E6" s="11">
        <f>IFERROR('Data Sheet'!D17,0)</f>
        <v>35545</v>
      </c>
      <c r="F6" s="11">
        <f>IFERROR('Data Sheet'!E17,0)</f>
        <v>39310</v>
      </c>
      <c r="G6" s="11">
        <f>IFERROR('Data Sheet'!F17,0)</f>
        <v>39783</v>
      </c>
      <c r="H6" s="11">
        <f>IFERROR('Data Sheet'!G17,0)</f>
        <v>47028</v>
      </c>
      <c r="I6" s="11">
        <f>IFERROR('Data Sheet'!H17,0)</f>
        <v>52446</v>
      </c>
      <c r="J6" s="11">
        <f>IFERROR('Data Sheet'!I17,0)</f>
        <v>60580</v>
      </c>
      <c r="K6" s="11">
        <f>IFERROR('Data Sheet'!J17,0)</f>
        <v>61896</v>
      </c>
      <c r="L6" s="11">
        <f>IFERROR('Data Sheet'!K17,0)</f>
        <v>63121</v>
      </c>
      <c r="M6" s="11">
        <f>IFERROR(SUM('Data Sheet'!H42:K42),0)</f>
        <v>64243</v>
      </c>
    </row>
    <row r="7" spans="1:13" outlineLevel="1" x14ac:dyDescent="0.3">
      <c r="B7" s="14" t="s">
        <v>58</v>
      </c>
      <c r="C7" s="15" t="s">
        <v>59</v>
      </c>
      <c r="D7" s="13">
        <f>D6/C6-1</f>
        <v>3.03237432424035E-2</v>
      </c>
      <c r="E7" s="13">
        <f t="shared" ref="E7:M7" si="0">E6/D6-1</f>
        <v>7.1859357095470644E-2</v>
      </c>
      <c r="F7" s="13">
        <f t="shared" si="0"/>
        <v>0.1059220706147137</v>
      </c>
      <c r="G7" s="13">
        <f t="shared" si="0"/>
        <v>1.2032561689137689E-2</v>
      </c>
      <c r="H7" s="13">
        <f t="shared" si="0"/>
        <v>0.18211296282331646</v>
      </c>
      <c r="I7" s="13">
        <f t="shared" si="0"/>
        <v>0.11520796121459553</v>
      </c>
      <c r="J7" s="13">
        <f t="shared" si="0"/>
        <v>0.15509285741524614</v>
      </c>
      <c r="K7" s="13">
        <f t="shared" si="0"/>
        <v>2.1723341036645749E-2</v>
      </c>
      <c r="L7" s="13">
        <f t="shared" si="0"/>
        <v>1.9791262763344974E-2</v>
      </c>
      <c r="M7" s="13">
        <f t="shared" si="0"/>
        <v>1.7775383786695409E-2</v>
      </c>
    </row>
    <row r="8" spans="1:13" outlineLevel="1" x14ac:dyDescent="0.3"/>
    <row r="9" spans="1:13" outlineLevel="1" x14ac:dyDescent="0.3">
      <c r="B9" t="s">
        <v>60</v>
      </c>
      <c r="C9" s="11">
        <f>IFERROR(SUM('Data Sheet'!B18,'Data Sheet'!B20,'Data Sheet'!B21,'Data Sheet'!B22)-1*'Data Sheet'!B19,0)</f>
        <v>18222</v>
      </c>
      <c r="D9" s="11">
        <f>IFERROR(SUM('Data Sheet'!C18,'Data Sheet'!C20,'Data Sheet'!C21,'Data Sheet'!C22)-1*'Data Sheet'!C19,0)</f>
        <v>18675</v>
      </c>
      <c r="E9" s="11">
        <f>IFERROR(SUM('Data Sheet'!D18,'Data Sheet'!D20,'Data Sheet'!D21,'Data Sheet'!D22)-1*'Data Sheet'!D19,0)</f>
        <v>19314</v>
      </c>
      <c r="F9" s="11">
        <f>IFERROR(SUM('Data Sheet'!E18,'Data Sheet'!E20,'Data Sheet'!E21,'Data Sheet'!E22)-1*'Data Sheet'!E19,0)</f>
        <v>21081</v>
      </c>
      <c r="G9" s="11">
        <f>IFERROR(SUM('Data Sheet'!F18,'Data Sheet'!F20,'Data Sheet'!F21,'Data Sheet'!F22)-1*'Data Sheet'!F19,0)</f>
        <v>20614</v>
      </c>
      <c r="H9" s="11">
        <f>IFERROR(SUM('Data Sheet'!G18,'Data Sheet'!G20,'Data Sheet'!G21,'Data Sheet'!G22)-1*'Data Sheet'!G19,0)</f>
        <v>25301</v>
      </c>
      <c r="I9" s="11">
        <f>IFERROR(SUM('Data Sheet'!H18,'Data Sheet'!H20,'Data Sheet'!H21,'Data Sheet'!H22)-1*'Data Sheet'!H19,0)</f>
        <v>29066</v>
      </c>
      <c r="J9" s="11">
        <f>IFERROR(SUM('Data Sheet'!I18,'Data Sheet'!I20,'Data Sheet'!I21,'Data Sheet'!I22)-1*'Data Sheet'!I19,0)</f>
        <v>35381</v>
      </c>
      <c r="K9" s="11">
        <f>IFERROR(SUM('Data Sheet'!J18,'Data Sheet'!J20,'Data Sheet'!J21,'Data Sheet'!J22)-1*'Data Sheet'!J19,0)</f>
        <v>33651</v>
      </c>
      <c r="L9" s="11">
        <f>IFERROR(SUM('Data Sheet'!K18,'Data Sheet'!K20,'Data Sheet'!K21,'Data Sheet'!K22)-1*'Data Sheet'!K19,0)</f>
        <v>34529</v>
      </c>
      <c r="M9" s="11">
        <f>IFERROR(SUM('Data Sheet'!H43:K43),0)</f>
        <v>49487</v>
      </c>
    </row>
    <row r="10" spans="1:13" outlineLevel="1" x14ac:dyDescent="0.3">
      <c r="B10" s="14" t="s">
        <v>61</v>
      </c>
      <c r="C10" s="16">
        <f>C9/C6</f>
        <v>0.56614677188839868</v>
      </c>
      <c r="D10" s="16">
        <f t="shared" ref="D10:M10" si="1">D9/D6</f>
        <v>0.5631445630540981</v>
      </c>
      <c r="E10" s="16">
        <f t="shared" si="1"/>
        <v>0.54336756224504146</v>
      </c>
      <c r="F10" s="16">
        <f t="shared" si="1"/>
        <v>0.53627575680488426</v>
      </c>
      <c r="G10" s="16">
        <f t="shared" si="1"/>
        <v>0.51816102355277383</v>
      </c>
      <c r="H10" s="16">
        <f t="shared" si="1"/>
        <v>0.53799863910861612</v>
      </c>
      <c r="I10" s="16">
        <f t="shared" si="1"/>
        <v>0.55420813789421497</v>
      </c>
      <c r="J10" s="16">
        <f t="shared" si="1"/>
        <v>0.58403763618355897</v>
      </c>
      <c r="K10" s="16">
        <f t="shared" si="1"/>
        <v>0.54367002714230317</v>
      </c>
      <c r="L10" s="16">
        <f t="shared" si="1"/>
        <v>0.54702872261212587</v>
      </c>
      <c r="M10" s="16">
        <f t="shared" si="1"/>
        <v>0.77030960571579787</v>
      </c>
    </row>
    <row r="11" spans="1:13" outlineLevel="1" x14ac:dyDescent="0.3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outlineLevel="1" x14ac:dyDescent="0.3">
      <c r="B12" s="30" t="s">
        <v>62</v>
      </c>
      <c r="C12" s="31">
        <f>C6-C9</f>
        <v>13964</v>
      </c>
      <c r="D12" s="31">
        <f t="shared" ref="D12:M12" si="2">D6-D9</f>
        <v>14487</v>
      </c>
      <c r="E12" s="31">
        <f t="shared" si="2"/>
        <v>16231</v>
      </c>
      <c r="F12" s="31">
        <f t="shared" si="2"/>
        <v>18229</v>
      </c>
      <c r="G12" s="31">
        <f t="shared" si="2"/>
        <v>19169</v>
      </c>
      <c r="H12" s="31">
        <f t="shared" si="2"/>
        <v>21727</v>
      </c>
      <c r="I12" s="31">
        <f t="shared" si="2"/>
        <v>23380</v>
      </c>
      <c r="J12" s="31">
        <f t="shared" si="2"/>
        <v>25199</v>
      </c>
      <c r="K12" s="31">
        <f t="shared" si="2"/>
        <v>28245</v>
      </c>
      <c r="L12" s="31">
        <f t="shared" si="2"/>
        <v>28592</v>
      </c>
      <c r="M12" s="31">
        <f t="shared" si="2"/>
        <v>14756</v>
      </c>
    </row>
    <row r="13" spans="1:13" outlineLevel="1" x14ac:dyDescent="0.3">
      <c r="B13" s="14" t="s">
        <v>70</v>
      </c>
      <c r="C13" s="16">
        <f>C12/C6</f>
        <v>0.43385322811160132</v>
      </c>
      <c r="D13" s="16">
        <f t="shared" ref="D13:M13" si="3">D12/D6</f>
        <v>0.43685543694590195</v>
      </c>
      <c r="E13" s="16">
        <f t="shared" si="3"/>
        <v>0.45663243775495849</v>
      </c>
      <c r="F13" s="16">
        <f t="shared" si="3"/>
        <v>0.46372424319511574</v>
      </c>
      <c r="G13" s="16">
        <f t="shared" si="3"/>
        <v>0.48183897644722617</v>
      </c>
      <c r="H13" s="16">
        <f t="shared" si="3"/>
        <v>0.46200136089138388</v>
      </c>
      <c r="I13" s="16">
        <f t="shared" si="3"/>
        <v>0.44579186210578498</v>
      </c>
      <c r="J13" s="16">
        <f t="shared" si="3"/>
        <v>0.41596236381644108</v>
      </c>
      <c r="K13" s="16">
        <f t="shared" si="3"/>
        <v>0.45632997285769678</v>
      </c>
      <c r="L13" s="16">
        <f t="shared" si="3"/>
        <v>0.45297127738787407</v>
      </c>
      <c r="M13" s="16">
        <f t="shared" si="3"/>
        <v>0.22969039428420218</v>
      </c>
    </row>
    <row r="14" spans="1:13" outlineLevel="1" x14ac:dyDescent="0.3">
      <c r="B14" s="1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outlineLevel="1" x14ac:dyDescent="0.3">
      <c r="B15" t="s">
        <v>63</v>
      </c>
      <c r="C15" s="11">
        <f>IFERROR(SUM('Data Sheet'!B23:B24),0)</f>
        <v>8054</v>
      </c>
      <c r="D15" s="11">
        <f>IFERROR(SUM('Data Sheet'!C23:C24),0)</f>
        <v>8159</v>
      </c>
      <c r="E15" s="11">
        <f>IFERROR(SUM('Data Sheet'!D23:D24),0)</f>
        <v>8732</v>
      </c>
      <c r="F15" s="11">
        <f>IFERROR(SUM('Data Sheet'!E23:E24),0)</f>
        <v>9349</v>
      </c>
      <c r="G15" s="11">
        <f>IFERROR(SUM('Data Sheet'!F23:F24),0)</f>
        <v>9308</v>
      </c>
      <c r="H15" s="11">
        <f>IFERROR(SUM('Data Sheet'!G23:G24),0)</f>
        <v>10101</v>
      </c>
      <c r="I15" s="11">
        <f>IFERROR(SUM('Data Sheet'!H23:H24),0)</f>
        <v>10523</v>
      </c>
      <c r="J15" s="11">
        <f>IFERROR(SUM('Data Sheet'!I23:I24),0)</f>
        <v>11052</v>
      </c>
      <c r="K15" s="11">
        <f>IFERROR(SUM('Data Sheet'!J23:J24),0)</f>
        <v>13586</v>
      </c>
      <c r="L15" s="11">
        <f>IFERROR(SUM('Data Sheet'!K23:K24),0)</f>
        <v>13749</v>
      </c>
      <c r="M15" s="11">
        <f>IFERROR(SUM('Data Sheet'!L23:L24),0)</f>
        <v>0</v>
      </c>
    </row>
    <row r="16" spans="1:13" outlineLevel="1" x14ac:dyDescent="0.3">
      <c r="B16" s="14" t="s">
        <v>65</v>
      </c>
      <c r="C16" s="16">
        <f t="shared" ref="C16:M16" si="4">C15/C6</f>
        <v>0.25023302056794877</v>
      </c>
      <c r="D16" s="16">
        <f t="shared" si="4"/>
        <v>0.24603461793619202</v>
      </c>
      <c r="E16" s="16">
        <f t="shared" si="4"/>
        <v>0.24566043044028696</v>
      </c>
      <c r="F16" s="16">
        <f t="shared" si="4"/>
        <v>0.23782752480284916</v>
      </c>
      <c r="G16" s="16">
        <f t="shared" si="4"/>
        <v>0.23396928336224015</v>
      </c>
      <c r="H16" s="16">
        <f t="shared" si="4"/>
        <v>0.21478693544271499</v>
      </c>
      <c r="I16" s="16">
        <f t="shared" si="4"/>
        <v>0.20064447240971667</v>
      </c>
      <c r="J16" s="16">
        <f t="shared" si="4"/>
        <v>0.18243644767249917</v>
      </c>
      <c r="K16" s="16">
        <f t="shared" si="4"/>
        <v>0.21949722114514669</v>
      </c>
      <c r="L16" s="16">
        <f t="shared" si="4"/>
        <v>0.21781974303322191</v>
      </c>
      <c r="M16" s="16">
        <f t="shared" si="4"/>
        <v>0</v>
      </c>
    </row>
    <row r="17" spans="2:13" outlineLevel="1" x14ac:dyDescent="0.3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2:13" outlineLevel="1" x14ac:dyDescent="0.3">
      <c r="B18" s="30" t="s">
        <v>64</v>
      </c>
      <c r="C18" s="31">
        <f t="shared" ref="C18:M18" si="5">C12-C15</f>
        <v>5910</v>
      </c>
      <c r="D18" s="31">
        <f t="shared" si="5"/>
        <v>6328</v>
      </c>
      <c r="E18" s="31">
        <f t="shared" si="5"/>
        <v>7499</v>
      </c>
      <c r="F18" s="31">
        <f t="shared" si="5"/>
        <v>8880</v>
      </c>
      <c r="G18" s="31">
        <f t="shared" si="5"/>
        <v>9861</v>
      </c>
      <c r="H18" s="31">
        <f t="shared" si="5"/>
        <v>11626</v>
      </c>
      <c r="I18" s="31">
        <f t="shared" si="5"/>
        <v>12857</v>
      </c>
      <c r="J18" s="31">
        <f t="shared" si="5"/>
        <v>14147</v>
      </c>
      <c r="K18" s="31">
        <f t="shared" si="5"/>
        <v>14659</v>
      </c>
      <c r="L18" s="31">
        <f t="shared" si="5"/>
        <v>14843</v>
      </c>
      <c r="M18" s="31">
        <f t="shared" si="5"/>
        <v>14756</v>
      </c>
    </row>
    <row r="19" spans="2:13" outlineLevel="1" x14ac:dyDescent="0.3">
      <c r="B19" s="14" t="s">
        <v>66</v>
      </c>
      <c r="C19" s="16">
        <f t="shared" ref="C19:M19" si="6">C18/C6</f>
        <v>0.18362020754365252</v>
      </c>
      <c r="D19" s="16">
        <f t="shared" si="6"/>
        <v>0.1908208190097099</v>
      </c>
      <c r="E19" s="16">
        <f t="shared" si="6"/>
        <v>0.21097200731467156</v>
      </c>
      <c r="F19" s="16">
        <f t="shared" si="6"/>
        <v>0.2258967183922666</v>
      </c>
      <c r="G19" s="16">
        <f t="shared" si="6"/>
        <v>0.24786969308498605</v>
      </c>
      <c r="H19" s="16">
        <f t="shared" si="6"/>
        <v>0.24721442544866887</v>
      </c>
      <c r="I19" s="16">
        <f t="shared" si="6"/>
        <v>0.24514738969606834</v>
      </c>
      <c r="J19" s="16">
        <f t="shared" si="6"/>
        <v>0.23352591614394189</v>
      </c>
      <c r="K19" s="16">
        <f t="shared" si="6"/>
        <v>0.23683275171255008</v>
      </c>
      <c r="L19" s="16">
        <f t="shared" si="6"/>
        <v>0.23515153435465216</v>
      </c>
      <c r="M19" s="16">
        <f t="shared" si="6"/>
        <v>0.22969039428420218</v>
      </c>
    </row>
    <row r="20" spans="2:13" outlineLevel="1" x14ac:dyDescent="0.3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2:13" outlineLevel="1" x14ac:dyDescent="0.3">
      <c r="B21" t="s">
        <v>67</v>
      </c>
      <c r="C21" s="11">
        <f>IFERROR('Data Sheet'!B27,0)</f>
        <v>17</v>
      </c>
      <c r="D21" s="11">
        <f>IFERROR('Data Sheet'!C27,0)</f>
        <v>35</v>
      </c>
      <c r="E21" s="11">
        <f>IFERROR('Data Sheet'!D27,0)</f>
        <v>26</v>
      </c>
      <c r="F21" s="11">
        <f>IFERROR('Data Sheet'!E27,0)</f>
        <v>33</v>
      </c>
      <c r="G21" s="11">
        <f>IFERROR('Data Sheet'!F27,0)</f>
        <v>118</v>
      </c>
      <c r="H21" s="11">
        <f>IFERROR('Data Sheet'!G27,0)</f>
        <v>117</v>
      </c>
      <c r="I21" s="11">
        <f>IFERROR('Data Sheet'!H27,0)</f>
        <v>106</v>
      </c>
      <c r="J21" s="11">
        <f>IFERROR('Data Sheet'!I27,0)</f>
        <v>114</v>
      </c>
      <c r="K21" s="11">
        <f>IFERROR('Data Sheet'!J27,0)</f>
        <v>334</v>
      </c>
      <c r="L21" s="11">
        <f>IFERROR('Data Sheet'!K27,0)</f>
        <v>395</v>
      </c>
      <c r="M21" s="11">
        <f>IFERROR(SUM('Data Sheet'!H46:K46),0)</f>
        <v>448</v>
      </c>
    </row>
    <row r="22" spans="2:13" outlineLevel="1" x14ac:dyDescent="0.3">
      <c r="B22" s="14" t="s">
        <v>68</v>
      </c>
      <c r="C22" s="16">
        <f t="shared" ref="C22:M22" si="7">C21/C6</f>
        <v>5.2817995401727462E-4</v>
      </c>
      <c r="D22" s="16">
        <f t="shared" si="7"/>
        <v>1.0554248839032628E-3</v>
      </c>
      <c r="E22" s="16">
        <f t="shared" si="7"/>
        <v>7.3146715431143621E-4</v>
      </c>
      <c r="F22" s="16">
        <f t="shared" si="7"/>
        <v>8.3948104807936915E-4</v>
      </c>
      <c r="G22" s="16">
        <f t="shared" si="7"/>
        <v>2.9660910439132291E-3</v>
      </c>
      <c r="H22" s="16">
        <f t="shared" si="7"/>
        <v>2.4878795611125285E-3</v>
      </c>
      <c r="I22" s="16">
        <f t="shared" si="7"/>
        <v>2.0211264920108303E-3</v>
      </c>
      <c r="J22" s="16">
        <f t="shared" si="7"/>
        <v>1.881809177946517E-3</v>
      </c>
      <c r="K22" s="16">
        <f t="shared" si="7"/>
        <v>5.3961483779242604E-3</v>
      </c>
      <c r="L22" s="16">
        <f t="shared" si="7"/>
        <v>6.2578222778473091E-3</v>
      </c>
      <c r="M22" s="16">
        <f t="shared" si="7"/>
        <v>6.9735224071105027E-3</v>
      </c>
    </row>
    <row r="23" spans="2:13" outlineLevel="1" x14ac:dyDescent="0.3"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2:13" outlineLevel="1" x14ac:dyDescent="0.3">
      <c r="B24" t="s">
        <v>5</v>
      </c>
      <c r="C24" s="11">
        <f>IFERROR('Data Sheet'!B26,0)</f>
        <v>353</v>
      </c>
      <c r="D24" s="11">
        <f>IFERROR('Data Sheet'!C26,0)</f>
        <v>432</v>
      </c>
      <c r="E24" s="11">
        <f>IFERROR('Data Sheet'!D26,0)</f>
        <v>520</v>
      </c>
      <c r="F24" s="11">
        <f>IFERROR('Data Sheet'!E26,0)</f>
        <v>565</v>
      </c>
      <c r="G24" s="11">
        <f>IFERROR('Data Sheet'!F26,0)</f>
        <v>1002</v>
      </c>
      <c r="H24" s="11">
        <f>IFERROR('Data Sheet'!G26,0)</f>
        <v>1074</v>
      </c>
      <c r="I24" s="11">
        <f>IFERROR('Data Sheet'!H26,0)</f>
        <v>1091</v>
      </c>
      <c r="J24" s="11">
        <f>IFERROR('Data Sheet'!I26,0)</f>
        <v>1137</v>
      </c>
      <c r="K24" s="11">
        <f>IFERROR('Data Sheet'!J26,0)</f>
        <v>1216</v>
      </c>
      <c r="L24" s="11">
        <f>IFERROR('Data Sheet'!K26,0)</f>
        <v>1355</v>
      </c>
      <c r="M24" s="11">
        <f>IFERROR(SUM('Data Sheet'!H45:K45),0)</f>
        <v>1407</v>
      </c>
    </row>
    <row r="25" spans="2:13" outlineLevel="1" x14ac:dyDescent="0.3">
      <c r="B25" s="14" t="s">
        <v>69</v>
      </c>
      <c r="C25" s="16">
        <f t="shared" ref="C25:M25" si="8">C24/C6</f>
        <v>1.0967501398123409E-2</v>
      </c>
      <c r="D25" s="16">
        <f t="shared" si="8"/>
        <v>1.3026958567034558E-2</v>
      </c>
      <c r="E25" s="16">
        <f t="shared" si="8"/>
        <v>1.4629343086228723E-2</v>
      </c>
      <c r="F25" s="16">
        <f t="shared" si="8"/>
        <v>1.437293309590435E-2</v>
      </c>
      <c r="G25" s="16">
        <f t="shared" si="8"/>
        <v>2.5186637508483524E-2</v>
      </c>
      <c r="H25" s="16">
        <f t="shared" si="8"/>
        <v>2.2837458535340648E-2</v>
      </c>
      <c r="I25" s="16">
        <f t="shared" si="8"/>
        <v>2.0802349082866187E-2</v>
      </c>
      <c r="J25" s="16">
        <f t="shared" si="8"/>
        <v>1.8768570485308684E-2</v>
      </c>
      <c r="K25" s="16">
        <f t="shared" si="8"/>
        <v>1.9645857567532635E-2</v>
      </c>
      <c r="L25" s="16">
        <f t="shared" si="8"/>
        <v>2.1466706801223048E-2</v>
      </c>
      <c r="M25" s="16">
        <f t="shared" si="8"/>
        <v>2.1901218809831421E-2</v>
      </c>
    </row>
    <row r="26" spans="2:13" outlineLevel="1" x14ac:dyDescent="0.3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2:13" outlineLevel="1" x14ac:dyDescent="0.3">
      <c r="B27" s="30" t="s">
        <v>71</v>
      </c>
      <c r="C27" s="31">
        <f>IFERROR(C18-SUM(C21,C24),0)</f>
        <v>5540</v>
      </c>
      <c r="D27" s="31">
        <f t="shared" ref="D27:M27" si="9">IFERROR(D18-SUM(D21,D24),0)</f>
        <v>5861</v>
      </c>
      <c r="E27" s="31">
        <f t="shared" si="9"/>
        <v>6953</v>
      </c>
      <c r="F27" s="31">
        <f t="shared" si="9"/>
        <v>8282</v>
      </c>
      <c r="G27" s="31">
        <f t="shared" si="9"/>
        <v>8741</v>
      </c>
      <c r="H27" s="31">
        <f t="shared" si="9"/>
        <v>10435</v>
      </c>
      <c r="I27" s="31">
        <f t="shared" si="9"/>
        <v>11660</v>
      </c>
      <c r="J27" s="31">
        <f t="shared" si="9"/>
        <v>12896</v>
      </c>
      <c r="K27" s="31">
        <f t="shared" si="9"/>
        <v>13109</v>
      </c>
      <c r="L27" s="31">
        <f t="shared" si="9"/>
        <v>13093</v>
      </c>
      <c r="M27" s="31">
        <f t="shared" si="9"/>
        <v>12901</v>
      </c>
    </row>
    <row r="28" spans="2:13" outlineLevel="1" x14ac:dyDescent="0.3">
      <c r="B28" s="14" t="s">
        <v>72</v>
      </c>
      <c r="C28" s="16">
        <f>C27/C6</f>
        <v>0.17212452619151183</v>
      </c>
      <c r="D28" s="16">
        <f t="shared" ref="D28:M28" si="10">D27/D6</f>
        <v>0.17673843555877208</v>
      </c>
      <c r="E28" s="16">
        <f t="shared" si="10"/>
        <v>0.19561119707413138</v>
      </c>
      <c r="F28" s="16">
        <f t="shared" si="10"/>
        <v>0.21068430424828288</v>
      </c>
      <c r="G28" s="16">
        <f t="shared" si="10"/>
        <v>0.21971696453258929</v>
      </c>
      <c r="H28" s="16">
        <f t="shared" si="10"/>
        <v>0.22188908735221571</v>
      </c>
      <c r="I28" s="16">
        <f t="shared" si="10"/>
        <v>0.22232391412119132</v>
      </c>
      <c r="J28" s="16">
        <f t="shared" si="10"/>
        <v>0.21287553648068669</v>
      </c>
      <c r="K28" s="16">
        <f t="shared" si="10"/>
        <v>0.2117907457670932</v>
      </c>
      <c r="L28" s="16">
        <f t="shared" si="10"/>
        <v>0.20742700527558183</v>
      </c>
      <c r="M28" s="16">
        <f t="shared" si="10"/>
        <v>0.20081565306726024</v>
      </c>
    </row>
    <row r="29" spans="2:13" outlineLevel="1" x14ac:dyDescent="0.3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2:13" outlineLevel="1" x14ac:dyDescent="0.3">
      <c r="B30" t="s">
        <v>8</v>
      </c>
      <c r="C30" s="11">
        <f>IFERROR('Data Sheet'!B29,0)</f>
        <v>1875</v>
      </c>
      <c r="D30" s="11">
        <f>IFERROR('Data Sheet'!C29,0)</f>
        <v>1977</v>
      </c>
      <c r="E30" s="11">
        <f>IFERROR('Data Sheet'!D29,0)</f>
        <v>2079</v>
      </c>
      <c r="F30" s="11">
        <f>IFERROR('Data Sheet'!E29,0)</f>
        <v>2544</v>
      </c>
      <c r="G30" s="11">
        <f>IFERROR('Data Sheet'!F29,0)</f>
        <v>2409</v>
      </c>
      <c r="H30" s="11">
        <f>IFERROR('Data Sheet'!G29,0)</f>
        <v>2606</v>
      </c>
      <c r="I30" s="11">
        <f>IFERROR('Data Sheet'!H29,0)</f>
        <v>2987</v>
      </c>
      <c r="J30" s="11">
        <f>IFERROR('Data Sheet'!I29,0)</f>
        <v>3201</v>
      </c>
      <c r="K30" s="11">
        <f>IFERROR('Data Sheet'!J29,0)</f>
        <v>3644</v>
      </c>
      <c r="L30" s="11">
        <f>IFERROR('Data Sheet'!K29,0)</f>
        <v>3744</v>
      </c>
      <c r="M30" s="11">
        <f>IFERROR(SUM('Data Sheet'!H48:K48),0)</f>
        <v>3291</v>
      </c>
    </row>
    <row r="31" spans="2:13" outlineLevel="1" x14ac:dyDescent="0.3">
      <c r="B31" s="14" t="s">
        <v>73</v>
      </c>
      <c r="C31" s="16">
        <f>C30/C27</f>
        <v>0.33844765342960287</v>
      </c>
      <c r="D31" s="16">
        <f t="shared" ref="D31:M31" si="11">D30/D27</f>
        <v>0.33731445145879541</v>
      </c>
      <c r="E31" s="16">
        <f t="shared" si="11"/>
        <v>0.29900762260894576</v>
      </c>
      <c r="F31" s="16">
        <f t="shared" si="11"/>
        <v>0.30717218063269741</v>
      </c>
      <c r="G31" s="16">
        <f t="shared" si="11"/>
        <v>0.27559775769362771</v>
      </c>
      <c r="H31" s="16">
        <f t="shared" si="11"/>
        <v>0.24973646382367035</v>
      </c>
      <c r="I31" s="16">
        <f t="shared" si="11"/>
        <v>0.25617495711835336</v>
      </c>
      <c r="J31" s="16">
        <f t="shared" si="11"/>
        <v>0.24821650124069478</v>
      </c>
      <c r="K31" s="16">
        <f t="shared" si="11"/>
        <v>0.27797696239224962</v>
      </c>
      <c r="L31" s="16">
        <f t="shared" si="11"/>
        <v>0.28595432673947913</v>
      </c>
      <c r="M31" s="16">
        <f t="shared" si="11"/>
        <v>0.25509650414696533</v>
      </c>
    </row>
    <row r="32" spans="2:13" outlineLevel="1" x14ac:dyDescent="0.3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5" outlineLevel="1" thickBot="1" x14ac:dyDescent="0.35">
      <c r="B33" s="32" t="s">
        <v>74</v>
      </c>
      <c r="C33" s="33">
        <f>IFERROR(C27-C30,0)</f>
        <v>3665</v>
      </c>
      <c r="D33" s="33">
        <f t="shared" ref="D33:L33" si="12">IFERROR(D27-D30,0)</f>
        <v>3884</v>
      </c>
      <c r="E33" s="33">
        <f t="shared" si="12"/>
        <v>4874</v>
      </c>
      <c r="F33" s="33">
        <f t="shared" si="12"/>
        <v>5738</v>
      </c>
      <c r="G33" s="33">
        <f t="shared" si="12"/>
        <v>6332</v>
      </c>
      <c r="H33" s="33">
        <f t="shared" si="12"/>
        <v>7829</v>
      </c>
      <c r="I33" s="33">
        <f t="shared" si="12"/>
        <v>8673</v>
      </c>
      <c r="J33" s="33">
        <f t="shared" si="12"/>
        <v>9695</v>
      </c>
      <c r="K33" s="33">
        <f t="shared" si="12"/>
        <v>9465</v>
      </c>
      <c r="L33" s="33">
        <f t="shared" si="12"/>
        <v>9349</v>
      </c>
      <c r="M33" s="33">
        <f>IFERROR(SUM('Data Sheet'!H49:K49),0)</f>
        <v>10889</v>
      </c>
    </row>
    <row r="34" spans="1:13" ht="15" outlineLevel="1" thickTop="1" x14ac:dyDescent="0.3">
      <c r="B34" s="14" t="s">
        <v>75</v>
      </c>
      <c r="C34" s="16">
        <f>IFERROR(C33/C6,0)</f>
        <v>0.11386938420431243</v>
      </c>
      <c r="D34" s="16">
        <f t="shared" ref="D34:M34" si="13">IFERROR(D33/D6,0)</f>
        <v>0.11712200711657922</v>
      </c>
      <c r="E34" s="16">
        <f t="shared" si="13"/>
        <v>0.1371219580813054</v>
      </c>
      <c r="F34" s="16">
        <f t="shared" si="13"/>
        <v>0.14596794708725516</v>
      </c>
      <c r="G34" s="16">
        <f t="shared" si="13"/>
        <v>0.15916346178015736</v>
      </c>
      <c r="H34" s="16">
        <f t="shared" si="13"/>
        <v>0.16647529131581185</v>
      </c>
      <c r="I34" s="16">
        <f t="shared" si="13"/>
        <v>0.16537009495481067</v>
      </c>
      <c r="J34" s="16">
        <f t="shared" si="13"/>
        <v>0.16003631561571477</v>
      </c>
      <c r="K34" s="16">
        <f t="shared" si="13"/>
        <v>0.15291779759596744</v>
      </c>
      <c r="L34" s="16">
        <f t="shared" si="13"/>
        <v>0.14811235563441644</v>
      </c>
      <c r="M34" s="16">
        <f t="shared" si="13"/>
        <v>0.16949706582818361</v>
      </c>
    </row>
    <row r="35" spans="1:13" outlineLevel="1" x14ac:dyDescent="0.3">
      <c r="B35" s="1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outlineLevel="1" x14ac:dyDescent="0.3">
      <c r="B36" t="s">
        <v>76</v>
      </c>
      <c r="C36" s="11">
        <f>IFERROR('Data Sheet'!B93,0)</f>
        <v>216.39</v>
      </c>
      <c r="D36" s="11">
        <f>IFERROR('Data Sheet'!C93,0)</f>
        <v>216.43</v>
      </c>
      <c r="E36" s="11">
        <f>IFERROR('Data Sheet'!D93,0)</f>
        <v>216.45</v>
      </c>
      <c r="F36" s="11">
        <f>IFERROR('Data Sheet'!E93,0)</f>
        <v>216.47</v>
      </c>
      <c r="G36" s="11">
        <f>IFERROR('Data Sheet'!F93,0)</f>
        <v>216.48</v>
      </c>
      <c r="H36" s="11">
        <f>IFERROR('Data Sheet'!G93,0)</f>
        <v>234.96</v>
      </c>
      <c r="I36" s="11">
        <f>IFERROR('Data Sheet'!H93,0)</f>
        <v>234.96</v>
      </c>
      <c r="J36" s="11">
        <f>IFERROR('Data Sheet'!I93,0)</f>
        <v>234.96</v>
      </c>
      <c r="K36" s="11">
        <f>IFERROR('Data Sheet'!J93,0)</f>
        <v>234.96</v>
      </c>
      <c r="L36" s="11">
        <f>IFERROR('Data Sheet'!K93,0)</f>
        <v>234.96</v>
      </c>
      <c r="M36" s="11">
        <f>IFERROR('Data Sheet'!L93,0)</f>
        <v>0</v>
      </c>
    </row>
    <row r="37" spans="1:13" outlineLevel="1" x14ac:dyDescent="0.3"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outlineLevel="1" x14ac:dyDescent="0.3">
      <c r="B38" t="s">
        <v>77</v>
      </c>
      <c r="C38" s="11">
        <f>IFERROR(C33/C36,0)</f>
        <v>16.937011876704101</v>
      </c>
      <c r="D38" s="11">
        <f t="shared" ref="D38:M38" si="14">IFERROR(D33/D36,0)</f>
        <v>17.945756133622879</v>
      </c>
      <c r="E38" s="11">
        <f t="shared" si="14"/>
        <v>22.51790251790252</v>
      </c>
      <c r="F38" s="11">
        <f t="shared" si="14"/>
        <v>26.507137247655564</v>
      </c>
      <c r="G38" s="11">
        <f t="shared" si="14"/>
        <v>29.249815225424982</v>
      </c>
      <c r="H38" s="11">
        <f t="shared" si="14"/>
        <v>33.320565202587673</v>
      </c>
      <c r="I38" s="11">
        <f t="shared" si="14"/>
        <v>36.912665985699689</v>
      </c>
      <c r="J38" s="11">
        <f t="shared" si="14"/>
        <v>41.262342526387471</v>
      </c>
      <c r="K38" s="11">
        <f t="shared" si="14"/>
        <v>40.283452502553622</v>
      </c>
      <c r="L38" s="11">
        <f t="shared" si="14"/>
        <v>39.789751447054819</v>
      </c>
      <c r="M38" s="11">
        <f t="shared" si="14"/>
        <v>0</v>
      </c>
    </row>
    <row r="39" spans="1:13" outlineLevel="1" x14ac:dyDescent="0.3">
      <c r="B39" s="14" t="s">
        <v>79</v>
      </c>
      <c r="C39" s="16"/>
      <c r="D39" s="16">
        <f>IFERROR(D38/C38-1,0)</f>
        <v>5.9558572920778818E-2</v>
      </c>
      <c r="E39" s="16">
        <f t="shared" ref="E39:M39" si="15">IFERROR(E38/D38-1,0)</f>
        <v>0.25477591193348159</v>
      </c>
      <c r="F39" s="16">
        <f t="shared" si="15"/>
        <v>0.17715836217789205</v>
      </c>
      <c r="G39" s="16">
        <f t="shared" si="15"/>
        <v>0.10346941475213423</v>
      </c>
      <c r="H39" s="16">
        <f t="shared" si="15"/>
        <v>0.1391718185496178</v>
      </c>
      <c r="I39" s="16">
        <f t="shared" si="15"/>
        <v>0.10780431728190054</v>
      </c>
      <c r="J39" s="16">
        <f t="shared" si="15"/>
        <v>0.11783696529459253</v>
      </c>
      <c r="K39" s="16">
        <f t="shared" si="15"/>
        <v>-2.3723568849922771E-2</v>
      </c>
      <c r="L39" s="16">
        <f t="shared" si="15"/>
        <v>-1.2255678816692983E-2</v>
      </c>
      <c r="M39" s="16">
        <f t="shared" si="15"/>
        <v>-1</v>
      </c>
    </row>
    <row r="40" spans="1:13" outlineLevel="1" x14ac:dyDescent="0.3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outlineLevel="1" x14ac:dyDescent="0.3">
      <c r="B41" t="s">
        <v>78</v>
      </c>
      <c r="C41" s="11">
        <f>IFERROR('Data Sheet'!B31/C36,0)</f>
        <v>15.971163177596008</v>
      </c>
      <c r="D41" s="11">
        <f>IFERROR('Data Sheet'!C31/D36,0)</f>
        <v>16.966224645381878</v>
      </c>
      <c r="E41" s="11">
        <f>IFERROR('Data Sheet'!D31/E36,0)</f>
        <v>19.95841995841996</v>
      </c>
      <c r="F41" s="11">
        <f>IFERROR('Data Sheet'!E31/F36,0)</f>
        <v>21.95223356585208</v>
      </c>
      <c r="G41" s="11">
        <f>IFERROR('Data Sheet'!F31/G36,0)</f>
        <v>24.944567627494457</v>
      </c>
      <c r="H41" s="11">
        <f>IFERROR('Data Sheet'!G31/H36,0)</f>
        <v>40.506894790602651</v>
      </c>
      <c r="I41" s="11">
        <f>IFERROR('Data Sheet'!H31/I36,0)</f>
        <v>34.005788219271366</v>
      </c>
      <c r="J41" s="11">
        <f>IFERROR('Data Sheet'!I31/J36,0)</f>
        <v>39.006639427987743</v>
      </c>
      <c r="K41" s="11">
        <f>IFERROR('Data Sheet'!J31/K36,0)</f>
        <v>42.007150153217566</v>
      </c>
      <c r="L41" s="11">
        <f>IFERROR('Data Sheet'!K31/L36,0)</f>
        <v>53.009022812393596</v>
      </c>
      <c r="M41" s="11">
        <f>IFERROR('Data Sheet'!L31/M36,0)</f>
        <v>0</v>
      </c>
    </row>
    <row r="42" spans="1:13" outlineLevel="1" x14ac:dyDescent="0.3">
      <c r="B42" s="14" t="s">
        <v>80</v>
      </c>
      <c r="C42" s="16">
        <f>IFERROR(C41/C38,0)</f>
        <v>0.94297407912687581</v>
      </c>
      <c r="D42" s="16">
        <f t="shared" ref="D42:M42" si="16">IFERROR(D41/D38,0)</f>
        <v>0.94541709577754895</v>
      </c>
      <c r="E42" s="16">
        <f t="shared" si="16"/>
        <v>0.88633565859663521</v>
      </c>
      <c r="F42" s="16">
        <f t="shared" si="16"/>
        <v>0.82816312303938655</v>
      </c>
      <c r="G42" s="16">
        <f t="shared" si="16"/>
        <v>0.85281111813013266</v>
      </c>
      <c r="H42" s="16">
        <f t="shared" si="16"/>
        <v>1.2156724996806743</v>
      </c>
      <c r="I42" s="16">
        <f t="shared" si="16"/>
        <v>0.92124985587455333</v>
      </c>
      <c r="J42" s="16">
        <f t="shared" si="16"/>
        <v>0.94533264569365649</v>
      </c>
      <c r="K42" s="16">
        <f t="shared" si="16"/>
        <v>1.0427892234548337</v>
      </c>
      <c r="L42" s="16">
        <f t="shared" si="16"/>
        <v>1.3322280457802973</v>
      </c>
      <c r="M42" s="16">
        <f t="shared" si="16"/>
        <v>0</v>
      </c>
    </row>
    <row r="43" spans="1:13" outlineLevel="1" x14ac:dyDescent="0.3"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outlineLevel="1" x14ac:dyDescent="0.3">
      <c r="B44" t="s">
        <v>81</v>
      </c>
      <c r="C44" s="24">
        <f>IFERROR(IF(C38&gt;C41,1-C42,0),0)</f>
        <v>5.7025920873124192E-2</v>
      </c>
      <c r="D44" s="24">
        <f t="shared" ref="D44:M44" si="17">IFERROR(IF(D38&gt;D41,1-D42,0),0)</f>
        <v>5.4582904222451045E-2</v>
      </c>
      <c r="E44" s="24">
        <f t="shared" si="17"/>
        <v>0.11366434140336479</v>
      </c>
      <c r="F44" s="24">
        <f t="shared" si="17"/>
        <v>0.17183687696061345</v>
      </c>
      <c r="G44" s="24">
        <f t="shared" si="17"/>
        <v>0.14718888186986734</v>
      </c>
      <c r="H44" s="24">
        <f t="shared" si="17"/>
        <v>0</v>
      </c>
      <c r="I44" s="24">
        <f t="shared" si="17"/>
        <v>7.8750144125446675E-2</v>
      </c>
      <c r="J44" s="24">
        <f t="shared" si="17"/>
        <v>5.4667354306343507E-2</v>
      </c>
      <c r="K44" s="24">
        <f t="shared" si="17"/>
        <v>0</v>
      </c>
      <c r="L44" s="24">
        <f t="shared" si="17"/>
        <v>0</v>
      </c>
      <c r="M44" s="24">
        <f t="shared" si="17"/>
        <v>0</v>
      </c>
    </row>
    <row r="45" spans="1:13" x14ac:dyDescent="0.3"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x14ac:dyDescent="0.3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x14ac:dyDescent="0.3">
      <c r="A47" s="17" t="s">
        <v>56</v>
      </c>
      <c r="B47" s="22" t="s">
        <v>82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 outlineLevel="1" x14ac:dyDescent="0.3">
      <c r="B48" t="s">
        <v>10</v>
      </c>
      <c r="C48" s="11">
        <f>IFERROR('Data Sheet'!B57,0)</f>
        <v>216</v>
      </c>
      <c r="D48" s="11">
        <f>IFERROR('Data Sheet'!C57,0)</f>
        <v>216</v>
      </c>
      <c r="E48" s="11">
        <f>IFERROR('Data Sheet'!D57,0)</f>
        <v>216</v>
      </c>
      <c r="F48" s="11">
        <f>IFERROR('Data Sheet'!E57,0)</f>
        <v>216</v>
      </c>
      <c r="G48" s="11">
        <f>IFERROR('Data Sheet'!F57,0)</f>
        <v>216</v>
      </c>
      <c r="H48" s="11">
        <f>IFERROR('Data Sheet'!G57,0)</f>
        <v>235</v>
      </c>
      <c r="I48" s="11">
        <f>IFERROR('Data Sheet'!H57,0)</f>
        <v>235</v>
      </c>
      <c r="J48" s="11">
        <f>IFERROR('Data Sheet'!I57,0)</f>
        <v>235</v>
      </c>
      <c r="K48" s="11">
        <f>IFERROR('Data Sheet'!J57,0)</f>
        <v>235</v>
      </c>
      <c r="L48" s="11">
        <f>IFERROR('Data Sheet'!K57,0)</f>
        <v>235</v>
      </c>
      <c r="M48" s="11">
        <f>IFERROR('Data Sheet'!L57,0)</f>
        <v>0</v>
      </c>
    </row>
    <row r="49" spans="2:13" outlineLevel="1" x14ac:dyDescent="0.3">
      <c r="B49" t="s">
        <v>11</v>
      </c>
      <c r="C49" s="11">
        <f>IFERROR('Data Sheet'!B58,0)</f>
        <v>6357</v>
      </c>
      <c r="D49" s="11">
        <f>IFERROR('Data Sheet'!C58,0)</f>
        <v>6528</v>
      </c>
      <c r="E49" s="11">
        <f>IFERROR('Data Sheet'!D58,0)</f>
        <v>7065</v>
      </c>
      <c r="F49" s="11">
        <f>IFERROR('Data Sheet'!E58,0)</f>
        <v>7651</v>
      </c>
      <c r="G49" s="11">
        <f>IFERROR('Data Sheet'!F58,0)</f>
        <v>8013</v>
      </c>
      <c r="H49" s="11">
        <f>IFERROR('Data Sheet'!G58,0)</f>
        <v>47439</v>
      </c>
      <c r="I49" s="11">
        <f>IFERROR('Data Sheet'!H58,0)</f>
        <v>48826</v>
      </c>
      <c r="J49" s="11">
        <f>IFERROR('Data Sheet'!I58,0)</f>
        <v>50069</v>
      </c>
      <c r="K49" s="11">
        <f>IFERROR('Data Sheet'!J58,0)</f>
        <v>50983</v>
      </c>
      <c r="L49" s="11">
        <f>IFERROR('Data Sheet'!K58,0)</f>
        <v>49167</v>
      </c>
      <c r="M49" s="11">
        <f>IFERROR('Data Sheet'!L58,0)</f>
        <v>0</v>
      </c>
    </row>
    <row r="50" spans="2:13" outlineLevel="1" x14ac:dyDescent="0.3">
      <c r="B50" t="s">
        <v>35</v>
      </c>
      <c r="C50" s="11">
        <f>IFERROR('Data Sheet'!B59,0)</f>
        <v>177</v>
      </c>
      <c r="D50" s="11">
        <f>IFERROR('Data Sheet'!C59,0)</f>
        <v>277</v>
      </c>
      <c r="E50" s="11">
        <f>IFERROR('Data Sheet'!D59,0)</f>
        <v>0</v>
      </c>
      <c r="F50" s="11">
        <f>IFERROR('Data Sheet'!E59,0)</f>
        <v>99</v>
      </c>
      <c r="G50" s="11">
        <f>IFERROR('Data Sheet'!F59,0)</f>
        <v>0</v>
      </c>
      <c r="H50" s="11">
        <f>IFERROR('Data Sheet'!G59,0)</f>
        <v>0</v>
      </c>
      <c r="I50" s="11">
        <f>IFERROR('Data Sheet'!H59,0)</f>
        <v>1043</v>
      </c>
      <c r="J50" s="11">
        <f>IFERROR('Data Sheet'!I59,0)</f>
        <v>1219</v>
      </c>
      <c r="K50" s="11">
        <f>IFERROR('Data Sheet'!J59,0)</f>
        <v>1484</v>
      </c>
      <c r="L50" s="11">
        <f>IFERROR('Data Sheet'!K59,0)</f>
        <v>1648</v>
      </c>
      <c r="M50" s="11">
        <f>IFERROR('Data Sheet'!L59,0)</f>
        <v>0</v>
      </c>
    </row>
    <row r="51" spans="2:13" outlineLevel="1" x14ac:dyDescent="0.3">
      <c r="B51" t="s">
        <v>36</v>
      </c>
      <c r="C51" s="11">
        <f>IFERROR('Data Sheet'!B60,0)</f>
        <v>8043</v>
      </c>
      <c r="D51" s="11">
        <f>IFERROR('Data Sheet'!C60,0)</f>
        <v>8685</v>
      </c>
      <c r="E51" s="11">
        <f>IFERROR('Data Sheet'!D60,0)</f>
        <v>10581</v>
      </c>
      <c r="F51" s="11">
        <f>IFERROR('Data Sheet'!E60,0)</f>
        <v>10663</v>
      </c>
      <c r="G51" s="11">
        <f>IFERROR('Data Sheet'!F60,0)</f>
        <v>11924</v>
      </c>
      <c r="H51" s="11">
        <f>IFERROR('Data Sheet'!G60,0)</f>
        <v>21066</v>
      </c>
      <c r="I51" s="11">
        <f>IFERROR('Data Sheet'!H60,0)</f>
        <v>20402</v>
      </c>
      <c r="J51" s="11">
        <f>IFERROR('Data Sheet'!I60,0)</f>
        <v>21554</v>
      </c>
      <c r="K51" s="11">
        <f>IFERROR('Data Sheet'!J60,0)</f>
        <v>25787</v>
      </c>
      <c r="L51" s="11">
        <f>IFERROR('Data Sheet'!K60,0)</f>
        <v>28813</v>
      </c>
      <c r="M51" s="11">
        <f>IFERROR('Data Sheet'!L60,0)</f>
        <v>0</v>
      </c>
    </row>
    <row r="52" spans="2:13" ht="15" outlineLevel="1" thickBot="1" x14ac:dyDescent="0.35">
      <c r="B52" s="32" t="s">
        <v>83</v>
      </c>
      <c r="C52" s="33">
        <f>IFERROR('Data Sheet'!B61,0)</f>
        <v>14793</v>
      </c>
      <c r="D52" s="33">
        <f>IFERROR('Data Sheet'!C61,0)</f>
        <v>15706</v>
      </c>
      <c r="E52" s="33">
        <f>IFERROR('Data Sheet'!D61,0)</f>
        <v>17862</v>
      </c>
      <c r="F52" s="33">
        <f>IFERROR('Data Sheet'!E61,0)</f>
        <v>18629</v>
      </c>
      <c r="G52" s="33">
        <f>IFERROR('Data Sheet'!F61,0)</f>
        <v>20153</v>
      </c>
      <c r="H52" s="33">
        <f>IFERROR('Data Sheet'!G61,0)</f>
        <v>68740</v>
      </c>
      <c r="I52" s="33">
        <f>IFERROR('Data Sheet'!H61,0)</f>
        <v>70506</v>
      </c>
      <c r="J52" s="33">
        <f>IFERROR('Data Sheet'!I61,0)</f>
        <v>73077</v>
      </c>
      <c r="K52" s="33">
        <f>IFERROR('Data Sheet'!J61,0)</f>
        <v>78489</v>
      </c>
      <c r="L52" s="33">
        <f>IFERROR('Data Sheet'!K61,0)</f>
        <v>79863</v>
      </c>
      <c r="M52" s="33">
        <f>IFERROR('Data Sheet'!L61,0)</f>
        <v>0</v>
      </c>
    </row>
    <row r="53" spans="2:13" ht="15" outlineLevel="1" thickTop="1" x14ac:dyDescent="0.3">
      <c r="B53" s="2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2:13" outlineLevel="1" x14ac:dyDescent="0.3">
      <c r="B54" t="s">
        <v>84</v>
      </c>
      <c r="C54" s="11">
        <f>IFERROR('Data Sheet'!B62,0)</f>
        <v>3258</v>
      </c>
      <c r="D54" s="11">
        <f>IFERROR('Data Sheet'!C62,0)</f>
        <v>4419</v>
      </c>
      <c r="E54" s="11">
        <f>IFERROR('Data Sheet'!D62,0)</f>
        <v>4528</v>
      </c>
      <c r="F54" s="11">
        <f>IFERROR('Data Sheet'!E62,0)</f>
        <v>4715</v>
      </c>
      <c r="G54" s="11">
        <f>IFERROR('Data Sheet'!F62,0)</f>
        <v>5479</v>
      </c>
      <c r="H54" s="11">
        <f>IFERROR('Data Sheet'!G62,0)</f>
        <v>51443</v>
      </c>
      <c r="I54" s="11">
        <f>IFERROR('Data Sheet'!H62,0)</f>
        <v>51473</v>
      </c>
      <c r="J54" s="11">
        <f>IFERROR('Data Sheet'!I62,0)</f>
        <v>52678</v>
      </c>
      <c r="K54" s="11">
        <f>IFERROR('Data Sheet'!J62,0)</f>
        <v>53744</v>
      </c>
      <c r="L54" s="11">
        <f>IFERROR('Data Sheet'!K62,0)</f>
        <v>54335</v>
      </c>
      <c r="M54" s="11">
        <f>IFERROR('Data Sheet'!L62,0)</f>
        <v>0</v>
      </c>
    </row>
    <row r="55" spans="2:13" outlineLevel="1" x14ac:dyDescent="0.3">
      <c r="B55" t="s">
        <v>14</v>
      </c>
      <c r="C55" s="11">
        <f>IFERROR('Data Sheet'!B63,0)</f>
        <v>408</v>
      </c>
      <c r="D55" s="11">
        <f>IFERROR('Data Sheet'!C63,0)</f>
        <v>229</v>
      </c>
      <c r="E55" s="11">
        <f>IFERROR('Data Sheet'!D63,0)</f>
        <v>461</v>
      </c>
      <c r="F55" s="11">
        <f>IFERROR('Data Sheet'!E63,0)</f>
        <v>406</v>
      </c>
      <c r="G55" s="11">
        <f>IFERROR('Data Sheet'!F63,0)</f>
        <v>597</v>
      </c>
      <c r="H55" s="11">
        <f>IFERROR('Data Sheet'!G63,0)</f>
        <v>745</v>
      </c>
      <c r="I55" s="11">
        <f>IFERROR('Data Sheet'!H63,0)</f>
        <v>1313</v>
      </c>
      <c r="J55" s="11">
        <f>IFERROR('Data Sheet'!I63,0)</f>
        <v>1132</v>
      </c>
      <c r="K55" s="11">
        <f>IFERROR('Data Sheet'!J63,0)</f>
        <v>1025</v>
      </c>
      <c r="L55" s="11">
        <f>IFERROR('Data Sheet'!K63,0)</f>
        <v>1009</v>
      </c>
      <c r="M55" s="11">
        <f>IFERROR('Data Sheet'!L63,0)</f>
        <v>0</v>
      </c>
    </row>
    <row r="56" spans="2:13" outlineLevel="1" x14ac:dyDescent="0.3">
      <c r="B56" t="s">
        <v>15</v>
      </c>
      <c r="C56" s="11">
        <f>IFERROR('Data Sheet'!B64,0)</f>
        <v>2592</v>
      </c>
      <c r="D56" s="11">
        <f>IFERROR('Data Sheet'!C64,0)</f>
        <v>3794</v>
      </c>
      <c r="E56" s="11">
        <f>IFERROR('Data Sheet'!D64,0)</f>
        <v>2873</v>
      </c>
      <c r="F56" s="11">
        <f>IFERROR('Data Sheet'!E64,0)</f>
        <v>2716</v>
      </c>
      <c r="G56" s="11">
        <f>IFERROR('Data Sheet'!F64,0)</f>
        <v>1255</v>
      </c>
      <c r="H56" s="11">
        <f>IFERROR('Data Sheet'!G64,0)</f>
        <v>2709</v>
      </c>
      <c r="I56" s="11">
        <f>IFERROR('Data Sheet'!H64,0)</f>
        <v>3521</v>
      </c>
      <c r="J56" s="11">
        <f>IFERROR('Data Sheet'!I64,0)</f>
        <v>2882</v>
      </c>
      <c r="K56" s="11">
        <f>IFERROR('Data Sheet'!J64,0)</f>
        <v>4625</v>
      </c>
      <c r="L56" s="11">
        <f>IFERROR('Data Sheet'!K64,0)</f>
        <v>3810</v>
      </c>
      <c r="M56" s="11">
        <f>IFERROR('Data Sheet'!L64,0)</f>
        <v>0</v>
      </c>
    </row>
    <row r="57" spans="2:13" outlineLevel="1" x14ac:dyDescent="0.3">
      <c r="B57" t="s">
        <v>37</v>
      </c>
      <c r="C57" s="11">
        <f>IFERROR('Data Sheet'!B65-SUM('Data Sheet'!B67:B69),0)</f>
        <v>1536</v>
      </c>
      <c r="D57" s="11">
        <f>IFERROR('Data Sheet'!C65-SUM('Data Sheet'!C67:C69),0)</f>
        <v>1810</v>
      </c>
      <c r="E57" s="11">
        <f>IFERROR('Data Sheet'!D65-SUM('Data Sheet'!D67:D69),0)</f>
        <v>2692</v>
      </c>
      <c r="F57" s="11">
        <f>IFERROR('Data Sheet'!E65-SUM('Data Sheet'!E67:E69),0)</f>
        <v>2645</v>
      </c>
      <c r="G57" s="11">
        <f>IFERROR('Data Sheet'!F65-SUM('Data Sheet'!F67:F69),0)</f>
        <v>3793</v>
      </c>
      <c r="H57" s="11">
        <f>IFERROR('Data Sheet'!G65-SUM('Data Sheet'!G67:G69),0)</f>
        <v>4035</v>
      </c>
      <c r="I57" s="11">
        <f>IFERROR('Data Sheet'!H65-SUM('Data Sheet'!H67:H69),0)</f>
        <v>4021</v>
      </c>
      <c r="J57" s="11">
        <f>IFERROR('Data Sheet'!I65-SUM('Data Sheet'!I67:I69),0)</f>
        <v>4377</v>
      </c>
      <c r="K57" s="11">
        <f>IFERROR('Data Sheet'!J65-SUM('Data Sheet'!J67:J69),0)</f>
        <v>4517</v>
      </c>
      <c r="L57" s="11">
        <f>IFERROR('Data Sheet'!K65-SUM('Data Sheet'!K67:K69),0)</f>
        <v>4921</v>
      </c>
      <c r="M57" s="11">
        <f>IFERROR('Data Sheet'!L65-SUM('Data Sheet'!L67:L69),0)</f>
        <v>0</v>
      </c>
    </row>
    <row r="58" spans="2:13" ht="15" outlineLevel="1" thickBot="1" x14ac:dyDescent="0.35">
      <c r="B58" s="32" t="s">
        <v>86</v>
      </c>
      <c r="C58" s="33">
        <f>SUM(C54:C57)</f>
        <v>7794</v>
      </c>
      <c r="D58" s="33">
        <f t="shared" ref="D58:M58" si="18">SUM(D54:D57)</f>
        <v>10252</v>
      </c>
      <c r="E58" s="33">
        <f t="shared" si="18"/>
        <v>10554</v>
      </c>
      <c r="F58" s="33">
        <f t="shared" si="18"/>
        <v>10482</v>
      </c>
      <c r="G58" s="33">
        <f t="shared" si="18"/>
        <v>11124</v>
      </c>
      <c r="H58" s="33">
        <f t="shared" si="18"/>
        <v>58932</v>
      </c>
      <c r="I58" s="33">
        <f t="shared" si="18"/>
        <v>60328</v>
      </c>
      <c r="J58" s="33">
        <f t="shared" si="18"/>
        <v>61069</v>
      </c>
      <c r="K58" s="33">
        <f t="shared" si="18"/>
        <v>63911</v>
      </c>
      <c r="L58" s="33">
        <f t="shared" si="18"/>
        <v>64075</v>
      </c>
      <c r="M58" s="33">
        <f t="shared" si="18"/>
        <v>0</v>
      </c>
    </row>
    <row r="59" spans="2:13" ht="15" outlineLevel="1" thickTop="1" x14ac:dyDescent="0.3">
      <c r="B59" s="2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2:13" outlineLevel="1" x14ac:dyDescent="0.3">
      <c r="B60" t="s">
        <v>42</v>
      </c>
      <c r="C60" s="11">
        <f>IFERROR('Data Sheet'!B67,0)</f>
        <v>1264</v>
      </c>
      <c r="D60" s="11">
        <f>IFERROR('Data Sheet'!C67,0)</f>
        <v>1085</v>
      </c>
      <c r="E60" s="11">
        <f>IFERROR('Data Sheet'!D67,0)</f>
        <v>1310</v>
      </c>
      <c r="F60" s="11">
        <f>IFERROR('Data Sheet'!E67,0)</f>
        <v>1816</v>
      </c>
      <c r="G60" s="11">
        <f>IFERROR('Data Sheet'!F67,0)</f>
        <v>1149</v>
      </c>
      <c r="H60" s="11">
        <f>IFERROR('Data Sheet'!G67,0)</f>
        <v>1758</v>
      </c>
      <c r="I60" s="11">
        <f>IFERROR('Data Sheet'!H67,0)</f>
        <v>2236</v>
      </c>
      <c r="J60" s="11">
        <f>IFERROR('Data Sheet'!I67,0)</f>
        <v>3079</v>
      </c>
      <c r="K60" s="11">
        <f>IFERROR('Data Sheet'!J67,0)</f>
        <v>2997</v>
      </c>
      <c r="L60" s="11">
        <f>IFERROR('Data Sheet'!K67,0)</f>
        <v>3819</v>
      </c>
      <c r="M60" s="11">
        <f>IFERROR('Data Sheet'!L67,0)</f>
        <v>0</v>
      </c>
    </row>
    <row r="61" spans="2:13" outlineLevel="1" x14ac:dyDescent="0.3">
      <c r="B61" t="s">
        <v>29</v>
      </c>
      <c r="C61" s="11">
        <f>IFERROR('Data Sheet'!B68,0)</f>
        <v>2726</v>
      </c>
      <c r="D61" s="11">
        <f>IFERROR('Data Sheet'!C68,0)</f>
        <v>2541</v>
      </c>
      <c r="E61" s="11">
        <f>IFERROR('Data Sheet'!D68,0)</f>
        <v>2513</v>
      </c>
      <c r="F61" s="11">
        <f>IFERROR('Data Sheet'!E68,0)</f>
        <v>2574</v>
      </c>
      <c r="G61" s="11">
        <f>IFERROR('Data Sheet'!F68,0)</f>
        <v>2767</v>
      </c>
      <c r="H61" s="11">
        <f>IFERROR('Data Sheet'!G68,0)</f>
        <v>3579</v>
      </c>
      <c r="I61" s="11">
        <f>IFERROR('Data Sheet'!H68,0)</f>
        <v>4096</v>
      </c>
      <c r="J61" s="11">
        <f>IFERROR('Data Sheet'!I68,0)</f>
        <v>4251</v>
      </c>
      <c r="K61" s="11">
        <f>IFERROR('Data Sheet'!J68,0)</f>
        <v>4022</v>
      </c>
      <c r="L61" s="11">
        <f>IFERROR('Data Sheet'!K68,0)</f>
        <v>4415</v>
      </c>
      <c r="M61" s="11">
        <f>IFERROR('Data Sheet'!L68,0)</f>
        <v>0</v>
      </c>
    </row>
    <row r="62" spans="2:13" outlineLevel="1" x14ac:dyDescent="0.3">
      <c r="B62" t="s">
        <v>51</v>
      </c>
      <c r="C62" s="11">
        <f>IFERROR('Data Sheet'!B69,0)</f>
        <v>3009</v>
      </c>
      <c r="D62" s="11">
        <f>IFERROR('Data Sheet'!C69,0)</f>
        <v>1828</v>
      </c>
      <c r="E62" s="11">
        <f>IFERROR('Data Sheet'!D69,0)</f>
        <v>3485</v>
      </c>
      <c r="F62" s="11">
        <f>IFERROR('Data Sheet'!E69,0)</f>
        <v>3757</v>
      </c>
      <c r="G62" s="11">
        <f>IFERROR('Data Sheet'!F69,0)</f>
        <v>5113</v>
      </c>
      <c r="H62" s="11">
        <f>IFERROR('Data Sheet'!G69,0)</f>
        <v>4471</v>
      </c>
      <c r="I62" s="11">
        <f>IFERROR('Data Sheet'!H69,0)</f>
        <v>3846</v>
      </c>
      <c r="J62" s="11">
        <f>IFERROR('Data Sheet'!I69,0)</f>
        <v>4678</v>
      </c>
      <c r="K62" s="11">
        <f>IFERROR('Data Sheet'!J69,0)</f>
        <v>7559</v>
      </c>
      <c r="L62" s="11">
        <f>IFERROR('Data Sheet'!K69,0)</f>
        <v>7554</v>
      </c>
      <c r="M62" s="11">
        <f>IFERROR('Data Sheet'!L69,0)</f>
        <v>0</v>
      </c>
    </row>
    <row r="63" spans="2:13" ht="15" outlineLevel="1" thickBot="1" x14ac:dyDescent="0.35">
      <c r="B63" s="32" t="s">
        <v>87</v>
      </c>
      <c r="C63" s="33">
        <f>IFERROR(SUM(C60:C62),0)</f>
        <v>6999</v>
      </c>
      <c r="D63" s="33">
        <f t="shared" ref="D63:M63" si="19">IFERROR(SUM(D60:D62),0)</f>
        <v>5454</v>
      </c>
      <c r="E63" s="33">
        <f t="shared" si="19"/>
        <v>7308</v>
      </c>
      <c r="F63" s="33">
        <f t="shared" si="19"/>
        <v>8147</v>
      </c>
      <c r="G63" s="33">
        <f t="shared" si="19"/>
        <v>9029</v>
      </c>
      <c r="H63" s="33">
        <f t="shared" si="19"/>
        <v>9808</v>
      </c>
      <c r="I63" s="33">
        <f t="shared" si="19"/>
        <v>10178</v>
      </c>
      <c r="J63" s="33">
        <f t="shared" si="19"/>
        <v>12008</v>
      </c>
      <c r="K63" s="33">
        <f t="shared" si="19"/>
        <v>14578</v>
      </c>
      <c r="L63" s="33">
        <f t="shared" si="19"/>
        <v>15788</v>
      </c>
      <c r="M63" s="33">
        <f t="shared" si="19"/>
        <v>0</v>
      </c>
    </row>
    <row r="64" spans="2:13" ht="15" outlineLevel="1" thickTop="1" x14ac:dyDescent="0.3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4" ht="15" outlineLevel="1" thickBot="1" x14ac:dyDescent="0.35">
      <c r="B65" s="32" t="s">
        <v>85</v>
      </c>
      <c r="C65" s="33">
        <f>IFERROR(C58+C63,0)</f>
        <v>14793</v>
      </c>
      <c r="D65" s="33">
        <f t="shared" ref="D65:M65" si="20">IFERROR(D58+D63,0)</f>
        <v>15706</v>
      </c>
      <c r="E65" s="33">
        <f t="shared" si="20"/>
        <v>17862</v>
      </c>
      <c r="F65" s="33">
        <f t="shared" si="20"/>
        <v>18629</v>
      </c>
      <c r="G65" s="33">
        <f t="shared" si="20"/>
        <v>20153</v>
      </c>
      <c r="H65" s="33">
        <f t="shared" si="20"/>
        <v>68740</v>
      </c>
      <c r="I65" s="33">
        <f t="shared" si="20"/>
        <v>70506</v>
      </c>
      <c r="J65" s="33">
        <f t="shared" si="20"/>
        <v>73077</v>
      </c>
      <c r="K65" s="33">
        <f t="shared" si="20"/>
        <v>78489</v>
      </c>
      <c r="L65" s="33">
        <f t="shared" si="20"/>
        <v>79863</v>
      </c>
      <c r="M65" s="33">
        <f t="shared" si="20"/>
        <v>0</v>
      </c>
      <c r="N65" s="25"/>
    </row>
    <row r="66" spans="1:14" ht="15" outlineLevel="1" thickTop="1" x14ac:dyDescent="0.3"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4" outlineLevel="1" x14ac:dyDescent="0.3">
      <c r="B67" s="26" t="s">
        <v>88</v>
      </c>
      <c r="C67" s="27" t="b">
        <f>C65=C52</f>
        <v>1</v>
      </c>
      <c r="D67" s="27" t="b">
        <f t="shared" ref="D67:M67" si="21">D65=D52</f>
        <v>1</v>
      </c>
      <c r="E67" s="27" t="b">
        <f t="shared" si="21"/>
        <v>1</v>
      </c>
      <c r="F67" s="27" t="b">
        <f t="shared" si="21"/>
        <v>1</v>
      </c>
      <c r="G67" s="27" t="b">
        <f t="shared" si="21"/>
        <v>1</v>
      </c>
      <c r="H67" s="27" t="b">
        <f t="shared" si="21"/>
        <v>1</v>
      </c>
      <c r="I67" s="27" t="b">
        <f t="shared" si="21"/>
        <v>1</v>
      </c>
      <c r="J67" s="27" t="b">
        <f t="shared" si="21"/>
        <v>1</v>
      </c>
      <c r="K67" s="27" t="b">
        <f t="shared" si="21"/>
        <v>1</v>
      </c>
      <c r="L67" s="27" t="b">
        <f t="shared" si="21"/>
        <v>1</v>
      </c>
      <c r="M67" s="27" t="b">
        <f t="shared" si="21"/>
        <v>1</v>
      </c>
    </row>
    <row r="68" spans="1:14" x14ac:dyDescent="0.3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4" x14ac:dyDescent="0.3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4" x14ac:dyDescent="0.3">
      <c r="A70" s="17" t="s">
        <v>56</v>
      </c>
      <c r="B70" s="22" t="s">
        <v>119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 spans="1:14" outlineLevel="1" x14ac:dyDescent="0.3">
      <c r="B71" s="2" t="s">
        <v>121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4" outlineLevel="1" x14ac:dyDescent="0.3">
      <c r="B72" t="s">
        <v>90</v>
      </c>
      <c r="C72" s="11">
        <f>IFERROR('Cash Flow Data '!C4,0)</f>
        <v>6025</v>
      </c>
      <c r="D72" s="11">
        <f>IFERROR('Cash Flow Data '!D4,0)</f>
        <v>6512</v>
      </c>
      <c r="E72" s="11">
        <f>IFERROR('Cash Flow Data '!E4,0)</f>
        <v>7485</v>
      </c>
      <c r="F72" s="11">
        <f>IFERROR('Cash Flow Data '!F4,0)</f>
        <v>8909</v>
      </c>
      <c r="G72" s="11">
        <f>IFERROR('Cash Flow Data '!G4,0)</f>
        <v>9723</v>
      </c>
      <c r="H72" s="11">
        <f>IFERROR('Cash Flow Data '!H4,0)</f>
        <v>11672</v>
      </c>
      <c r="I72" s="11">
        <f>IFERROR('Cash Flow Data '!I4,0)</f>
        <v>12829</v>
      </c>
      <c r="J72" s="11">
        <f>IFERROR('Cash Flow Data '!J4,0)</f>
        <v>14089</v>
      </c>
      <c r="K72" s="11">
        <f>IFERROR('Cash Flow Data '!K4,0)</f>
        <v>14537</v>
      </c>
      <c r="L72" s="11">
        <f>IFERROR('Cash Flow Data '!L4,0)</f>
        <v>14942</v>
      </c>
      <c r="M72" s="11">
        <f>IFERROR('Cash Flow Data '!M4,0)</f>
        <v>0</v>
      </c>
    </row>
    <row r="73" spans="1:14" outlineLevel="1" x14ac:dyDescent="0.3">
      <c r="B73" t="s">
        <v>42</v>
      </c>
      <c r="C73" s="11">
        <f>IFERROR('Cash Flow Data '!C5,0)</f>
        <v>-257</v>
      </c>
      <c r="D73" s="11">
        <f>IFERROR('Cash Flow Data '!D5,0)</f>
        <v>173</v>
      </c>
      <c r="E73" s="11">
        <f>IFERROR('Cash Flow Data '!E5,0)</f>
        <v>0</v>
      </c>
      <c r="F73" s="11">
        <f>IFERROR('Cash Flow Data '!F5,0)</f>
        <v>0</v>
      </c>
      <c r="G73" s="11">
        <f>IFERROR('Cash Flow Data '!G5,0)</f>
        <v>0</v>
      </c>
      <c r="H73" s="11">
        <f>IFERROR('Cash Flow Data '!H5,0)</f>
        <v>0</v>
      </c>
      <c r="I73" s="11">
        <f>IFERROR('Cash Flow Data '!I5,0)</f>
        <v>0</v>
      </c>
      <c r="J73" s="11">
        <f>IFERROR('Cash Flow Data '!J5,0)</f>
        <v>0</v>
      </c>
      <c r="K73" s="11">
        <f>IFERROR('Cash Flow Data '!K5,0)</f>
        <v>0</v>
      </c>
      <c r="L73" s="11">
        <f>IFERROR('Cash Flow Data '!L5,0)</f>
        <v>0</v>
      </c>
      <c r="M73" s="11">
        <f>IFERROR('Cash Flow Data '!M5,0)</f>
        <v>0</v>
      </c>
    </row>
    <row r="74" spans="1:14" outlineLevel="1" x14ac:dyDescent="0.3">
      <c r="B74" t="s">
        <v>29</v>
      </c>
      <c r="C74" s="11">
        <f>IFERROR('Cash Flow Data '!C6,0)</f>
        <v>89</v>
      </c>
      <c r="D74" s="11">
        <f>IFERROR('Cash Flow Data '!D6,0)</f>
        <v>37</v>
      </c>
      <c r="E74" s="11">
        <f>IFERROR('Cash Flow Data '!E6,0)</f>
        <v>-146</v>
      </c>
      <c r="F74" s="11">
        <f>IFERROR('Cash Flow Data '!F6,0)</f>
        <v>-195</v>
      </c>
      <c r="G74" s="11">
        <f>IFERROR('Cash Flow Data '!G6,0)</f>
        <v>-331</v>
      </c>
      <c r="H74" s="11">
        <f>IFERROR('Cash Flow Data '!H6,0)</f>
        <v>-543</v>
      </c>
      <c r="I74" s="11">
        <f>IFERROR('Cash Flow Data '!I6,0)</f>
        <v>-758</v>
      </c>
      <c r="J74" s="11">
        <f>IFERROR('Cash Flow Data '!J6,0)</f>
        <v>-339</v>
      </c>
      <c r="K74" s="11">
        <f>IFERROR('Cash Flow Data '!K6,0)</f>
        <v>74</v>
      </c>
      <c r="L74" s="11">
        <f>IFERROR('Cash Flow Data '!L6,0)</f>
        <v>-584</v>
      </c>
      <c r="M74" s="11">
        <f>IFERROR('Cash Flow Data '!M6,0)</f>
        <v>0</v>
      </c>
    </row>
    <row r="75" spans="1:14" outlineLevel="1" x14ac:dyDescent="0.3">
      <c r="B75" t="s">
        <v>91</v>
      </c>
      <c r="C75" s="11">
        <f>IFERROR('Cash Flow Data '!C7,0)</f>
        <v>164</v>
      </c>
      <c r="D75" s="11">
        <f>IFERROR('Cash Flow Data '!D7,0)</f>
        <v>501</v>
      </c>
      <c r="E75" s="11">
        <f>IFERROR('Cash Flow Data '!E7,0)</f>
        <v>0</v>
      </c>
      <c r="F75" s="11">
        <f>IFERROR('Cash Flow Data '!F7,0)</f>
        <v>0</v>
      </c>
      <c r="G75" s="11">
        <f>IFERROR('Cash Flow Data '!G7,0)</f>
        <v>0</v>
      </c>
      <c r="H75" s="11">
        <f>IFERROR('Cash Flow Data '!H7,0)</f>
        <v>0</v>
      </c>
      <c r="I75" s="11">
        <f>IFERROR('Cash Flow Data '!I7,0)</f>
        <v>0</v>
      </c>
      <c r="J75" s="11">
        <f>IFERROR('Cash Flow Data '!J7,0)</f>
        <v>0</v>
      </c>
      <c r="K75" s="11">
        <f>IFERROR('Cash Flow Data '!K7,0)</f>
        <v>0</v>
      </c>
      <c r="L75" s="11">
        <f>IFERROR('Cash Flow Data '!L7,0)</f>
        <v>0</v>
      </c>
      <c r="M75" s="11">
        <f>IFERROR('Cash Flow Data '!M7,0)</f>
        <v>0</v>
      </c>
    </row>
    <row r="76" spans="1:14" outlineLevel="1" x14ac:dyDescent="0.3">
      <c r="B76" t="s">
        <v>92</v>
      </c>
      <c r="C76" s="11">
        <f>IFERROR('Cash Flow Data '!C8,0)</f>
        <v>0</v>
      </c>
      <c r="D76" s="11">
        <f>IFERROR('Cash Flow Data '!D8,0)</f>
        <v>0</v>
      </c>
      <c r="E76" s="11">
        <f>IFERROR('Cash Flow Data '!E8,0)</f>
        <v>0</v>
      </c>
      <c r="F76" s="11">
        <f>IFERROR('Cash Flow Data '!F8,0)</f>
        <v>0</v>
      </c>
      <c r="G76" s="11">
        <f>IFERROR('Cash Flow Data '!G8,0)</f>
        <v>0</v>
      </c>
      <c r="H76" s="11">
        <f>IFERROR('Cash Flow Data '!H8,0)</f>
        <v>0</v>
      </c>
      <c r="I76" s="11">
        <f>IFERROR('Cash Flow Data '!I8,0)</f>
        <v>0</v>
      </c>
      <c r="J76" s="11">
        <f>IFERROR('Cash Flow Data '!J8,0)</f>
        <v>0</v>
      </c>
      <c r="K76" s="11">
        <f>IFERROR('Cash Flow Data '!K8,0)</f>
        <v>0</v>
      </c>
      <c r="L76" s="11">
        <f>IFERROR('Cash Flow Data '!L8,0)</f>
        <v>0</v>
      </c>
      <c r="M76" s="11">
        <f>IFERROR('Cash Flow Data '!M8,0)</f>
        <v>0</v>
      </c>
    </row>
    <row r="77" spans="1:14" outlineLevel="1" x14ac:dyDescent="0.3">
      <c r="B77" t="s">
        <v>93</v>
      </c>
      <c r="C77" s="11">
        <f>IFERROR('Cash Flow Data '!C9,0)</f>
        <v>0</v>
      </c>
      <c r="D77" s="11">
        <f>IFERROR('Cash Flow Data '!D9,0)</f>
        <v>-46</v>
      </c>
      <c r="E77" s="11">
        <f>IFERROR('Cash Flow Data '!E9,0)</f>
        <v>0</v>
      </c>
      <c r="F77" s="11">
        <f>IFERROR('Cash Flow Data '!F9,0)</f>
        <v>0</v>
      </c>
      <c r="G77" s="11">
        <f>IFERROR('Cash Flow Data '!G9,0)</f>
        <v>0</v>
      </c>
      <c r="H77" s="11">
        <f>IFERROR('Cash Flow Data '!H9,0)</f>
        <v>0</v>
      </c>
      <c r="I77" s="11">
        <f>IFERROR('Cash Flow Data '!I9,0)</f>
        <v>0</v>
      </c>
      <c r="J77" s="11">
        <f>IFERROR('Cash Flow Data '!J9,0)</f>
        <v>0</v>
      </c>
      <c r="K77" s="11">
        <f>IFERROR('Cash Flow Data '!K9,0)</f>
        <v>0</v>
      </c>
      <c r="L77" s="11">
        <f>IFERROR('Cash Flow Data '!L9,0)</f>
        <v>0</v>
      </c>
      <c r="M77" s="11">
        <f>IFERROR('Cash Flow Data '!M9,0)</f>
        <v>0</v>
      </c>
    </row>
    <row r="78" spans="1:14" outlineLevel="1" x14ac:dyDescent="0.3">
      <c r="B78" t="s">
        <v>94</v>
      </c>
      <c r="C78" s="11">
        <f>IFERROR('Cash Flow Data '!C10,0)</f>
        <v>-77</v>
      </c>
      <c r="D78" s="11">
        <f>IFERROR('Cash Flow Data '!D10,0)</f>
        <v>-99</v>
      </c>
      <c r="E78" s="11">
        <f>IFERROR('Cash Flow Data '!E10,0)</f>
        <v>982</v>
      </c>
      <c r="F78" s="11">
        <f>IFERROR('Cash Flow Data '!F10,0)</f>
        <v>-147</v>
      </c>
      <c r="G78" s="11">
        <f>IFERROR('Cash Flow Data '!G10,0)</f>
        <v>742</v>
      </c>
      <c r="H78" s="11">
        <f>IFERROR('Cash Flow Data '!H10,0)</f>
        <v>442</v>
      </c>
      <c r="I78" s="11">
        <f>IFERROR('Cash Flow Data '!I10,0)</f>
        <v>-242</v>
      </c>
      <c r="J78" s="11">
        <f>IFERROR('Cash Flow Data '!J10,0)</f>
        <v>-621</v>
      </c>
      <c r="K78" s="11">
        <f>IFERROR('Cash Flow Data '!K10,0)</f>
        <v>1239</v>
      </c>
      <c r="L78" s="11">
        <f>IFERROR('Cash Flow Data '!L10,0)</f>
        <v>-204</v>
      </c>
      <c r="M78" s="11">
        <f>IFERROR('Cash Flow Data '!M10,0)</f>
        <v>0</v>
      </c>
    </row>
    <row r="79" spans="1:14" outlineLevel="1" x14ac:dyDescent="0.3">
      <c r="B79" t="s">
        <v>95</v>
      </c>
      <c r="C79" s="11">
        <f>IFERROR('Cash Flow Data '!C11,0)</f>
        <v>-81</v>
      </c>
      <c r="D79" s="11">
        <f>IFERROR('Cash Flow Data '!D11,0)</f>
        <v>566</v>
      </c>
      <c r="E79" s="11">
        <f>IFERROR('Cash Flow Data '!E11,0)</f>
        <v>836</v>
      </c>
      <c r="F79" s="11">
        <f>IFERROR('Cash Flow Data '!F11,0)</f>
        <v>-342</v>
      </c>
      <c r="G79" s="11">
        <f>IFERROR('Cash Flow Data '!G11,0)</f>
        <v>411</v>
      </c>
      <c r="H79" s="11">
        <f>IFERROR('Cash Flow Data '!H11,0)</f>
        <v>-101</v>
      </c>
      <c r="I79" s="11">
        <f>IFERROR('Cash Flow Data '!I11,0)</f>
        <v>-1000</v>
      </c>
      <c r="J79" s="11">
        <f>IFERROR('Cash Flow Data '!J11,0)</f>
        <v>-960</v>
      </c>
      <c r="K79" s="11">
        <f>IFERROR('Cash Flow Data '!K11,0)</f>
        <v>1313</v>
      </c>
      <c r="L79" s="11">
        <f>IFERROR('Cash Flow Data '!L11,0)</f>
        <v>-788</v>
      </c>
      <c r="M79" s="11">
        <f>IFERROR('Cash Flow Data '!M11,0)</f>
        <v>0</v>
      </c>
    </row>
    <row r="80" spans="1:14" outlineLevel="1" x14ac:dyDescent="0.3">
      <c r="B80" t="s">
        <v>96</v>
      </c>
      <c r="C80" s="11">
        <f>IFERROR('Cash Flow Data '!C12,0)</f>
        <v>-1765</v>
      </c>
      <c r="D80" s="11">
        <f>IFERROR('Cash Flow Data '!D12,0)</f>
        <v>-1859</v>
      </c>
      <c r="E80" s="11">
        <f>IFERROR('Cash Flow Data '!E12,0)</f>
        <v>-2264</v>
      </c>
      <c r="F80" s="11">
        <f>IFERROR('Cash Flow Data '!F12,0)</f>
        <v>-2767</v>
      </c>
      <c r="G80" s="11">
        <f>IFERROR('Cash Flow Data '!G12,0)</f>
        <v>-2505</v>
      </c>
      <c r="H80" s="11">
        <f>IFERROR('Cash Flow Data '!H12,0)</f>
        <v>-2407</v>
      </c>
      <c r="I80" s="11">
        <f>IFERROR('Cash Flow Data '!I12,0)</f>
        <v>-2784</v>
      </c>
      <c r="J80" s="11">
        <f>IFERROR('Cash Flow Data '!J12,0)</f>
        <v>-3138</v>
      </c>
      <c r="K80" s="11">
        <f>IFERROR('Cash Flow Data '!K12,0)</f>
        <v>-381</v>
      </c>
      <c r="L80" s="11">
        <f>IFERROR('Cash Flow Data '!L12,0)</f>
        <v>-2268</v>
      </c>
      <c r="M80" s="11">
        <f>IFERROR('Cash Flow Data '!M12,0)</f>
        <v>0</v>
      </c>
    </row>
    <row r="81" spans="2:13" outlineLevel="1" x14ac:dyDescent="0.3">
      <c r="B81" t="s">
        <v>97</v>
      </c>
      <c r="C81" s="11">
        <f>IFERROR('Cash Flow Data '!C13,0)</f>
        <v>-8</v>
      </c>
      <c r="D81" s="11">
        <f>IFERROR('Cash Flow Data '!D13,0)</f>
        <v>-21</v>
      </c>
      <c r="E81" s="11">
        <f>IFERROR('Cash Flow Data '!E13,0)</f>
        <v>0</v>
      </c>
      <c r="F81" s="11">
        <f>IFERROR('Cash Flow Data '!F13,0)</f>
        <v>0</v>
      </c>
      <c r="G81" s="11">
        <f>IFERROR('Cash Flow Data '!G13,0)</f>
        <v>0</v>
      </c>
      <c r="H81" s="11">
        <f>IFERROR('Cash Flow Data '!H13,0)</f>
        <v>0</v>
      </c>
      <c r="I81" s="11">
        <f>IFERROR('Cash Flow Data '!I13,0)</f>
        <v>0</v>
      </c>
      <c r="J81" s="11">
        <f>IFERROR('Cash Flow Data '!J13,0)</f>
        <v>0</v>
      </c>
      <c r="K81" s="11">
        <f>IFERROR('Cash Flow Data '!K13,0)</f>
        <v>0</v>
      </c>
      <c r="L81" s="11">
        <f>IFERROR('Cash Flow Data '!L13,0)</f>
        <v>0</v>
      </c>
      <c r="M81" s="11">
        <f>IFERROR('Cash Flow Data '!M13,0)</f>
        <v>0</v>
      </c>
    </row>
    <row r="82" spans="2:13" outlineLevel="1" x14ac:dyDescent="0.3">
      <c r="B82" t="s">
        <v>98</v>
      </c>
      <c r="C82" s="11">
        <f>IFERROR('Cash Flow Data '!C14,0)</f>
        <v>0</v>
      </c>
      <c r="D82" s="11">
        <f>IFERROR('Cash Flow Data '!D14,0)</f>
        <v>-13</v>
      </c>
      <c r="E82" s="11">
        <f>IFERROR('Cash Flow Data '!E14,0)</f>
        <v>2</v>
      </c>
      <c r="F82" s="11">
        <f>IFERROR('Cash Flow Data '!F14,0)</f>
        <v>0</v>
      </c>
      <c r="G82" s="11">
        <f>IFERROR('Cash Flow Data '!G14,0)</f>
        <v>-6</v>
      </c>
      <c r="H82" s="11">
        <f>IFERROR('Cash Flow Data '!H14,0)</f>
        <v>-1</v>
      </c>
      <c r="I82" s="11">
        <f>IFERROR('Cash Flow Data '!I14,0)</f>
        <v>3</v>
      </c>
      <c r="J82" s="11">
        <f>IFERROR('Cash Flow Data '!J14,0)</f>
        <v>0</v>
      </c>
      <c r="K82" s="11">
        <f>IFERROR('Cash Flow Data '!K14,0)</f>
        <v>0</v>
      </c>
      <c r="L82" s="11">
        <f>IFERROR('Cash Flow Data '!L14,0)</f>
        <v>0</v>
      </c>
      <c r="M82" s="11">
        <f>IFERROR('Cash Flow Data '!M14,0)</f>
        <v>0</v>
      </c>
    </row>
    <row r="83" spans="2:13" outlineLevel="1" x14ac:dyDescent="0.3">
      <c r="B83" s="30" t="s">
        <v>120</v>
      </c>
      <c r="C83" s="31">
        <f>SUM(C72:C82)</f>
        <v>4090</v>
      </c>
      <c r="D83" s="31">
        <f t="shared" ref="D83:M83" si="22">SUM(D72:D82)</f>
        <v>5751</v>
      </c>
      <c r="E83" s="31">
        <f t="shared" si="22"/>
        <v>6895</v>
      </c>
      <c r="F83" s="31">
        <f t="shared" si="22"/>
        <v>5458</v>
      </c>
      <c r="G83" s="31">
        <f t="shared" si="22"/>
        <v>8034</v>
      </c>
      <c r="H83" s="31">
        <f t="shared" si="22"/>
        <v>9062</v>
      </c>
      <c r="I83" s="31">
        <f t="shared" si="22"/>
        <v>8048</v>
      </c>
      <c r="J83" s="31">
        <f t="shared" si="22"/>
        <v>9031</v>
      </c>
      <c r="K83" s="31">
        <f t="shared" si="22"/>
        <v>16782</v>
      </c>
      <c r="L83" s="31">
        <f t="shared" si="22"/>
        <v>11098</v>
      </c>
      <c r="M83" s="31">
        <f t="shared" si="22"/>
        <v>0</v>
      </c>
    </row>
    <row r="84" spans="2:13" outlineLevel="1" x14ac:dyDescent="0.3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2:13" outlineLevel="1" x14ac:dyDescent="0.3">
      <c r="B85" s="2" t="s">
        <v>122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2:13" outlineLevel="1" x14ac:dyDescent="0.3">
      <c r="B86" t="s">
        <v>100</v>
      </c>
      <c r="C86" s="11">
        <f>IFERROR('Cash Flow Data '!C16,0)</f>
        <v>-810</v>
      </c>
      <c r="D86" s="11">
        <f>IFERROR('Cash Flow Data '!D16,0)</f>
        <v>-1113</v>
      </c>
      <c r="E86" s="11">
        <f>IFERROR('Cash Flow Data '!E16,0)</f>
        <v>-895</v>
      </c>
      <c r="F86" s="11">
        <f>IFERROR('Cash Flow Data '!F16,0)</f>
        <v>-767</v>
      </c>
      <c r="G86" s="11">
        <f>IFERROR('Cash Flow Data '!G16,0)</f>
        <v>-862</v>
      </c>
      <c r="H86" s="11">
        <f>IFERROR('Cash Flow Data '!H16,0)</f>
        <v>-4163</v>
      </c>
      <c r="I86" s="11">
        <f>IFERROR('Cash Flow Data '!I16,0)</f>
        <v>-1228</v>
      </c>
      <c r="J86" s="11">
        <f>IFERROR('Cash Flow Data '!J16,0)</f>
        <v>-1192</v>
      </c>
      <c r="K86" s="11">
        <f>IFERROR('Cash Flow Data '!K16,0)</f>
        <v>-1477</v>
      </c>
      <c r="L86" s="11">
        <f>IFERROR('Cash Flow Data '!L16,0)</f>
        <v>-1275</v>
      </c>
      <c r="M86" s="11">
        <f>IFERROR('Cash Flow Data '!M16,0)</f>
        <v>0</v>
      </c>
    </row>
    <row r="87" spans="2:13" outlineLevel="1" x14ac:dyDescent="0.3">
      <c r="B87" t="s">
        <v>101</v>
      </c>
      <c r="C87" s="11">
        <f>IFERROR('Cash Flow Data '!C17,0)</f>
        <v>99</v>
      </c>
      <c r="D87" s="11">
        <f>IFERROR('Cash Flow Data '!D17,0)</f>
        <v>176</v>
      </c>
      <c r="E87" s="11">
        <f>IFERROR('Cash Flow Data '!E17,0)</f>
        <v>32</v>
      </c>
      <c r="F87" s="11">
        <f>IFERROR('Cash Flow Data '!F17,0)</f>
        <v>13</v>
      </c>
      <c r="G87" s="11">
        <f>IFERROR('Cash Flow Data '!G17,0)</f>
        <v>52</v>
      </c>
      <c r="H87" s="11">
        <f>IFERROR('Cash Flow Data '!H17,0)</f>
        <v>97</v>
      </c>
      <c r="I87" s="11">
        <f>IFERROR('Cash Flow Data '!I17,0)</f>
        <v>175</v>
      </c>
      <c r="J87" s="11">
        <f>IFERROR('Cash Flow Data '!J17,0)</f>
        <v>181</v>
      </c>
      <c r="K87" s="11">
        <f>IFERROR('Cash Flow Data '!K17,0)</f>
        <v>20</v>
      </c>
      <c r="L87" s="11">
        <f>IFERROR('Cash Flow Data '!L17,0)</f>
        <v>13</v>
      </c>
      <c r="M87" s="11">
        <f>IFERROR('Cash Flow Data '!M17,0)</f>
        <v>0</v>
      </c>
    </row>
    <row r="88" spans="2:13" outlineLevel="1" x14ac:dyDescent="0.3">
      <c r="B88" t="s">
        <v>102</v>
      </c>
      <c r="C88" s="11">
        <f>IFERROR('Cash Flow Data '!C18,0)</f>
        <v>-20666</v>
      </c>
      <c r="D88" s="11">
        <f>IFERROR('Cash Flow Data '!D18,0)</f>
        <v>-31214</v>
      </c>
      <c r="E88" s="11">
        <f>IFERROR('Cash Flow Data '!E18,0)</f>
        <v>-51855</v>
      </c>
      <c r="F88" s="11">
        <f>IFERROR('Cash Flow Data '!F18,0)</f>
        <v>-74365</v>
      </c>
      <c r="G88" s="11">
        <f>IFERROR('Cash Flow Data '!G18,0)</f>
        <v>-36090</v>
      </c>
      <c r="H88" s="11">
        <f>IFERROR('Cash Flow Data '!H18,0)</f>
        <v>-39920</v>
      </c>
      <c r="I88" s="11">
        <f>IFERROR('Cash Flow Data '!I18,0)</f>
        <v>-48522</v>
      </c>
      <c r="J88" s="11">
        <f>IFERROR('Cash Flow Data '!J18,0)</f>
        <v>-22649</v>
      </c>
      <c r="K88" s="11">
        <f>IFERROR('Cash Flow Data '!K18,0)</f>
        <v>-21337</v>
      </c>
      <c r="L88" s="11">
        <f>IFERROR('Cash Flow Data '!L18,0)</f>
        <v>-22957</v>
      </c>
      <c r="M88" s="11">
        <f>IFERROR('Cash Flow Data '!M18,0)</f>
        <v>0</v>
      </c>
    </row>
    <row r="89" spans="2:13" outlineLevel="1" x14ac:dyDescent="0.3">
      <c r="B89" t="s">
        <v>103</v>
      </c>
      <c r="C89" s="11">
        <f>IFERROR('Cash Flow Data '!C19,0)</f>
        <v>20937</v>
      </c>
      <c r="D89" s="11">
        <f>IFERROR('Cash Flow Data '!D19,0)</f>
        <v>30083</v>
      </c>
      <c r="E89" s="11">
        <f>IFERROR('Cash Flow Data '!E19,0)</f>
        <v>52897</v>
      </c>
      <c r="F89" s="11">
        <f>IFERROR('Cash Flow Data '!F19,0)</f>
        <v>74691</v>
      </c>
      <c r="G89" s="11">
        <f>IFERROR('Cash Flow Data '!G19,0)</f>
        <v>37690</v>
      </c>
      <c r="H89" s="11">
        <f>IFERROR('Cash Flow Data '!H19,0)</f>
        <v>38486</v>
      </c>
      <c r="I89" s="11">
        <f>IFERROR('Cash Flow Data '!I19,0)</f>
        <v>47786</v>
      </c>
      <c r="J89" s="11">
        <f>IFERROR('Cash Flow Data '!J19,0)</f>
        <v>23462</v>
      </c>
      <c r="K89" s="11">
        <f>IFERROR('Cash Flow Data '!K19,0)</f>
        <v>19846</v>
      </c>
      <c r="L89" s="11">
        <f>IFERROR('Cash Flow Data '!L19,0)</f>
        <v>23987</v>
      </c>
      <c r="M89" s="11">
        <f>IFERROR('Cash Flow Data '!M19,0)</f>
        <v>0</v>
      </c>
    </row>
    <row r="90" spans="2:13" outlineLevel="1" x14ac:dyDescent="0.3">
      <c r="B90" t="s">
        <v>104</v>
      </c>
      <c r="C90" s="11">
        <f>IFERROR('Cash Flow Data '!C20,0)</f>
        <v>315</v>
      </c>
      <c r="D90" s="11">
        <f>IFERROR('Cash Flow Data '!D20,0)</f>
        <v>264</v>
      </c>
      <c r="E90" s="11">
        <f>IFERROR('Cash Flow Data '!E20,0)</f>
        <v>297</v>
      </c>
      <c r="F90" s="11">
        <f>IFERROR('Cash Flow Data '!F20,0)</f>
        <v>289</v>
      </c>
      <c r="G90" s="11">
        <f>IFERROR('Cash Flow Data '!G20,0)</f>
        <v>351</v>
      </c>
      <c r="H90" s="11">
        <f>IFERROR('Cash Flow Data '!H20,0)</f>
        <v>277</v>
      </c>
      <c r="I90" s="11">
        <f>IFERROR('Cash Flow Data '!I20,0)</f>
        <v>161</v>
      </c>
      <c r="J90" s="11">
        <f>IFERROR('Cash Flow Data '!J20,0)</f>
        <v>259</v>
      </c>
      <c r="K90" s="11">
        <f>IFERROR('Cash Flow Data '!K20,0)</f>
        <v>425</v>
      </c>
      <c r="L90" s="11">
        <f>IFERROR('Cash Flow Data '!L20,0)</f>
        <v>835</v>
      </c>
      <c r="M90" s="11">
        <f>IFERROR('Cash Flow Data '!M20,0)</f>
        <v>0</v>
      </c>
    </row>
    <row r="91" spans="2:13" outlineLevel="1" x14ac:dyDescent="0.3">
      <c r="B91" t="s">
        <v>105</v>
      </c>
      <c r="C91" s="11">
        <f>IFERROR('Cash Flow Data '!C21,0)</f>
        <v>33</v>
      </c>
      <c r="D91" s="11">
        <f>IFERROR('Cash Flow Data '!D21,0)</f>
        <v>14</v>
      </c>
      <c r="E91" s="11">
        <f>IFERROR('Cash Flow Data '!E21,0)</f>
        <v>0</v>
      </c>
      <c r="F91" s="11">
        <f>IFERROR('Cash Flow Data '!F21,0)</f>
        <v>1</v>
      </c>
      <c r="G91" s="11">
        <f>IFERROR('Cash Flow Data '!G21,0)</f>
        <v>1</v>
      </c>
      <c r="H91" s="11">
        <f>IFERROR('Cash Flow Data '!H21,0)</f>
        <v>1</v>
      </c>
      <c r="I91" s="11">
        <f>IFERROR('Cash Flow Data '!I21,0)</f>
        <v>1</v>
      </c>
      <c r="J91" s="11">
        <f>IFERROR('Cash Flow Data '!J21,0)</f>
        <v>2</v>
      </c>
      <c r="K91" s="11">
        <f>IFERROR('Cash Flow Data '!K21,0)</f>
        <v>3</v>
      </c>
      <c r="L91" s="11">
        <f>IFERROR('Cash Flow Data '!L21,0)</f>
        <v>0</v>
      </c>
      <c r="M91" s="11">
        <f>IFERROR('Cash Flow Data '!M21,0)</f>
        <v>0</v>
      </c>
    </row>
    <row r="92" spans="2:13" outlineLevel="1" x14ac:dyDescent="0.3">
      <c r="B92" t="s">
        <v>106</v>
      </c>
      <c r="C92" s="11">
        <f>IFERROR('Cash Flow Data '!C22,0)</f>
        <v>0</v>
      </c>
      <c r="D92" s="11">
        <f>IFERROR('Cash Flow Data '!D22,0)</f>
        <v>0</v>
      </c>
      <c r="E92" s="11">
        <f>IFERROR('Cash Flow Data '!E22,0)</f>
        <v>0</v>
      </c>
      <c r="F92" s="11">
        <f>IFERROR('Cash Flow Data '!F22,0)</f>
        <v>0</v>
      </c>
      <c r="G92" s="11">
        <f>IFERROR('Cash Flow Data '!G22,0)</f>
        <v>0</v>
      </c>
      <c r="H92" s="11">
        <f>IFERROR('Cash Flow Data '!H22,0)</f>
        <v>0</v>
      </c>
      <c r="I92" s="11">
        <f>IFERROR('Cash Flow Data '!I22,0)</f>
        <v>0</v>
      </c>
      <c r="J92" s="11">
        <f>IFERROR('Cash Flow Data '!J22,0)</f>
        <v>0</v>
      </c>
      <c r="K92" s="11">
        <f>IFERROR('Cash Flow Data '!K22,0)</f>
        <v>0</v>
      </c>
      <c r="L92" s="11">
        <f>IFERROR('Cash Flow Data '!L22,0)</f>
        <v>0</v>
      </c>
      <c r="M92" s="11">
        <f>IFERROR('Cash Flow Data '!M22,0)</f>
        <v>0</v>
      </c>
    </row>
    <row r="93" spans="2:13" outlineLevel="1" x14ac:dyDescent="0.3">
      <c r="B93" t="s">
        <v>107</v>
      </c>
      <c r="C93" s="11">
        <f>IFERROR('Cash Flow Data '!C23,0)</f>
        <v>0</v>
      </c>
      <c r="D93" s="11">
        <f>IFERROR('Cash Flow Data '!D23,0)</f>
        <v>0</v>
      </c>
      <c r="E93" s="11">
        <f>IFERROR('Cash Flow Data '!E23,0)</f>
        <v>0</v>
      </c>
      <c r="F93" s="11">
        <f>IFERROR('Cash Flow Data '!F23,0)</f>
        <v>0</v>
      </c>
      <c r="G93" s="11">
        <f>IFERROR('Cash Flow Data '!G23,0)</f>
        <v>0</v>
      </c>
      <c r="H93" s="11">
        <f>IFERROR('Cash Flow Data '!H23,0)</f>
        <v>0</v>
      </c>
      <c r="I93" s="11">
        <f>IFERROR('Cash Flow Data '!I23,0)</f>
        <v>0</v>
      </c>
      <c r="J93" s="11">
        <f>IFERROR('Cash Flow Data '!J23,0)</f>
        <v>0</v>
      </c>
      <c r="K93" s="11">
        <f>IFERROR('Cash Flow Data '!K23,0)</f>
        <v>0</v>
      </c>
      <c r="L93" s="11">
        <f>IFERROR('Cash Flow Data '!L23,0)</f>
        <v>0</v>
      </c>
      <c r="M93" s="11">
        <f>IFERROR('Cash Flow Data '!M23,0)</f>
        <v>0</v>
      </c>
    </row>
    <row r="94" spans="2:13" outlineLevel="1" x14ac:dyDescent="0.3">
      <c r="B94" t="s">
        <v>108</v>
      </c>
      <c r="C94" s="11">
        <f>IFERROR('Cash Flow Data '!C24,0)</f>
        <v>161</v>
      </c>
      <c r="D94" s="11">
        <f>IFERROR('Cash Flow Data '!D24,0)</f>
        <v>20</v>
      </c>
      <c r="E94" s="11">
        <f>IFERROR('Cash Flow Data '!E24,0)</f>
        <v>73</v>
      </c>
      <c r="F94" s="11">
        <f>IFERROR('Cash Flow Data '!F24,0)</f>
        <v>0</v>
      </c>
      <c r="G94" s="11">
        <f>IFERROR('Cash Flow Data '!G24,0)</f>
        <v>0</v>
      </c>
      <c r="H94" s="11">
        <f>IFERROR('Cash Flow Data '!H24,0)</f>
        <v>0</v>
      </c>
      <c r="I94" s="11">
        <f>IFERROR('Cash Flow Data '!I24,0)</f>
        <v>0</v>
      </c>
      <c r="J94" s="11">
        <f>IFERROR('Cash Flow Data '!J24,0)</f>
        <v>0</v>
      </c>
      <c r="K94" s="11">
        <f>IFERROR('Cash Flow Data '!K24,0)</f>
        <v>0</v>
      </c>
      <c r="L94" s="11">
        <f>IFERROR('Cash Flow Data '!L24,0)</f>
        <v>0</v>
      </c>
      <c r="M94" s="11">
        <f>IFERROR('Cash Flow Data '!M24,0)</f>
        <v>0</v>
      </c>
    </row>
    <row r="95" spans="2:13" outlineLevel="1" x14ac:dyDescent="0.3">
      <c r="B95" t="s">
        <v>109</v>
      </c>
      <c r="C95" s="11">
        <f>IFERROR('Cash Flow Data '!C25,0)</f>
        <v>0</v>
      </c>
      <c r="D95" s="11">
        <f>IFERROR('Cash Flow Data '!D25,0)</f>
        <v>0</v>
      </c>
      <c r="E95" s="11">
        <f>IFERROR('Cash Flow Data '!E25,0)</f>
        <v>0</v>
      </c>
      <c r="F95" s="11">
        <f>IFERROR('Cash Flow Data '!F25,0)</f>
        <v>0</v>
      </c>
      <c r="G95" s="11">
        <f>IFERROR('Cash Flow Data '!G25,0)</f>
        <v>0</v>
      </c>
      <c r="H95" s="11">
        <f>IFERROR('Cash Flow Data '!H25,0)</f>
        <v>0</v>
      </c>
      <c r="I95" s="11">
        <f>IFERROR('Cash Flow Data '!I25,0)</f>
        <v>0</v>
      </c>
      <c r="J95" s="11">
        <f>IFERROR('Cash Flow Data '!J25,0)</f>
        <v>-334</v>
      </c>
      <c r="K95" s="11">
        <f>IFERROR('Cash Flow Data '!K25,0)</f>
        <v>0</v>
      </c>
      <c r="L95" s="11">
        <f>IFERROR('Cash Flow Data '!L25,0)</f>
        <v>0</v>
      </c>
      <c r="M95" s="11">
        <f>IFERROR('Cash Flow Data '!M25,0)</f>
        <v>0</v>
      </c>
    </row>
    <row r="96" spans="2:13" outlineLevel="1" x14ac:dyDescent="0.3">
      <c r="B96" t="s">
        <v>110</v>
      </c>
      <c r="C96" s="11">
        <f>IFERROR('Cash Flow Data '!C26,0)</f>
        <v>-351</v>
      </c>
      <c r="D96" s="11">
        <f>IFERROR('Cash Flow Data '!D26,0)</f>
        <v>597</v>
      </c>
      <c r="E96" s="11">
        <f>IFERROR('Cash Flow Data '!E26,0)</f>
        <v>-1612</v>
      </c>
      <c r="F96" s="11">
        <f>IFERROR('Cash Flow Data '!F26,0)</f>
        <v>-300</v>
      </c>
      <c r="G96" s="11">
        <f>IFERROR('Cash Flow Data '!G26,0)</f>
        <v>649</v>
      </c>
      <c r="H96" s="11">
        <f>IFERROR('Cash Flow Data '!H26,0)</f>
        <v>3994</v>
      </c>
      <c r="I96" s="11">
        <f>IFERROR('Cash Flow Data '!I26,0)</f>
        <v>-101</v>
      </c>
      <c r="J96" s="11">
        <f>IFERROR('Cash Flow Data '!J26,0)</f>
        <v>-1213</v>
      </c>
      <c r="K96" s="11">
        <f>IFERROR('Cash Flow Data '!K26,0)</f>
        <v>-2804</v>
      </c>
      <c r="L96" s="11">
        <f>IFERROR('Cash Flow Data '!L26,0)</f>
        <v>5870</v>
      </c>
      <c r="M96" s="11">
        <f>IFERROR('Cash Flow Data '!M26,0)</f>
        <v>0</v>
      </c>
    </row>
    <row r="97" spans="2:13" outlineLevel="1" x14ac:dyDescent="0.3">
      <c r="B97" s="30" t="s">
        <v>123</v>
      </c>
      <c r="C97" s="31">
        <f>SUM(C86:C96)</f>
        <v>-282</v>
      </c>
      <c r="D97" s="31">
        <f t="shared" ref="D97:M97" si="23">SUM(D86:D96)</f>
        <v>-1173</v>
      </c>
      <c r="E97" s="31">
        <f t="shared" si="23"/>
        <v>-1063</v>
      </c>
      <c r="F97" s="31">
        <f t="shared" si="23"/>
        <v>-438</v>
      </c>
      <c r="G97" s="31">
        <f t="shared" si="23"/>
        <v>1791</v>
      </c>
      <c r="H97" s="31">
        <f t="shared" si="23"/>
        <v>-1228</v>
      </c>
      <c r="I97" s="31">
        <f t="shared" si="23"/>
        <v>-1728</v>
      </c>
      <c r="J97" s="31">
        <f t="shared" si="23"/>
        <v>-1484</v>
      </c>
      <c r="K97" s="31">
        <f t="shared" si="23"/>
        <v>-5324</v>
      </c>
      <c r="L97" s="31">
        <f t="shared" si="23"/>
        <v>6473</v>
      </c>
      <c r="M97" s="25">
        <f t="shared" si="23"/>
        <v>0</v>
      </c>
    </row>
    <row r="98" spans="2:13" outlineLevel="1" x14ac:dyDescent="0.3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2:13" outlineLevel="1" x14ac:dyDescent="0.3">
      <c r="B99" s="2" t="s">
        <v>124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2:13" outlineLevel="1" x14ac:dyDescent="0.3">
      <c r="B100" t="s">
        <v>112</v>
      </c>
      <c r="C100" s="11">
        <f>IFERROR('Cash Flow Data '!C28,0)</f>
        <v>0</v>
      </c>
      <c r="D100" s="11">
        <f>IFERROR('Cash Flow Data '!D28,0)</f>
        <v>0</v>
      </c>
      <c r="E100" s="11">
        <f>IFERROR('Cash Flow Data '!E28,0)</f>
        <v>0</v>
      </c>
      <c r="F100" s="11">
        <f>IFERROR('Cash Flow Data '!F28,0)</f>
        <v>0</v>
      </c>
      <c r="G100" s="11">
        <f>IFERROR('Cash Flow Data '!G28,0)</f>
        <v>0</v>
      </c>
      <c r="H100" s="11">
        <f>IFERROR('Cash Flow Data '!H28,0)</f>
        <v>0</v>
      </c>
      <c r="I100" s="11">
        <f>IFERROR('Cash Flow Data '!I28,0)</f>
        <v>0</v>
      </c>
      <c r="J100" s="11">
        <f>IFERROR('Cash Flow Data '!J28,0)</f>
        <v>0</v>
      </c>
      <c r="K100" s="11">
        <f>IFERROR('Cash Flow Data '!K28,0)</f>
        <v>0</v>
      </c>
      <c r="L100" s="11">
        <f>IFERROR('Cash Flow Data '!L28,0)</f>
        <v>0</v>
      </c>
      <c r="M100" s="11">
        <f>IFERROR('Cash Flow Data '!M28,0)</f>
        <v>0</v>
      </c>
    </row>
    <row r="101" spans="2:13" outlineLevel="1" x14ac:dyDescent="0.3">
      <c r="B101" t="s">
        <v>113</v>
      </c>
      <c r="C101" s="11">
        <f>IFERROR('Cash Flow Data '!C29,0)</f>
        <v>177</v>
      </c>
      <c r="D101" s="11">
        <f>IFERROR('Cash Flow Data '!D29,0)</f>
        <v>460</v>
      </c>
      <c r="E101" s="11">
        <f>IFERROR('Cash Flow Data '!E29,0)</f>
        <v>0</v>
      </c>
      <c r="F101" s="11">
        <f>IFERROR('Cash Flow Data '!F29,0)</f>
        <v>99</v>
      </c>
      <c r="G101" s="11">
        <f>IFERROR('Cash Flow Data '!G29,0)</f>
        <v>0</v>
      </c>
      <c r="H101" s="11">
        <f>IFERROR('Cash Flow Data '!H29,0)</f>
        <v>188</v>
      </c>
      <c r="I101" s="11">
        <f>IFERROR('Cash Flow Data '!I29,0)</f>
        <v>55</v>
      </c>
      <c r="J101" s="11">
        <f>IFERROR('Cash Flow Data '!J29,0)</f>
        <v>286</v>
      </c>
      <c r="K101" s="11">
        <f>IFERROR('Cash Flow Data '!K29,0)</f>
        <v>0</v>
      </c>
      <c r="L101" s="11">
        <f>IFERROR('Cash Flow Data '!L29,0)</f>
        <v>0</v>
      </c>
      <c r="M101" s="11">
        <f>IFERROR('Cash Flow Data '!M29,0)</f>
        <v>0</v>
      </c>
    </row>
    <row r="102" spans="2:13" outlineLevel="1" x14ac:dyDescent="0.3">
      <c r="B102" t="s">
        <v>114</v>
      </c>
      <c r="C102" s="11">
        <f>IFERROR('Cash Flow Data '!C30,0)</f>
        <v>0</v>
      </c>
      <c r="D102" s="11">
        <f>IFERROR('Cash Flow Data '!D30,0)</f>
        <v>-360</v>
      </c>
      <c r="E102" s="11">
        <f>IFERROR('Cash Flow Data '!E30,0)</f>
        <v>-277</v>
      </c>
      <c r="F102" s="11">
        <f>IFERROR('Cash Flow Data '!F30,0)</f>
        <v>0</v>
      </c>
      <c r="G102" s="11">
        <f>IFERROR('Cash Flow Data '!G30,0)</f>
        <v>-99</v>
      </c>
      <c r="H102" s="11">
        <f>IFERROR('Cash Flow Data '!H30,0)</f>
        <v>-188</v>
      </c>
      <c r="I102" s="11">
        <f>IFERROR('Cash Flow Data '!I30,0)</f>
        <v>-55</v>
      </c>
      <c r="J102" s="11">
        <f>IFERROR('Cash Flow Data '!J30,0)</f>
        <v>-208</v>
      </c>
      <c r="K102" s="11">
        <f>IFERROR('Cash Flow Data '!K30,0)</f>
        <v>-85</v>
      </c>
      <c r="L102" s="11">
        <f>IFERROR('Cash Flow Data '!L30,0)</f>
        <v>0</v>
      </c>
      <c r="M102" s="11">
        <f>IFERROR('Cash Flow Data '!M30,0)</f>
        <v>0</v>
      </c>
    </row>
    <row r="103" spans="2:13" outlineLevel="1" x14ac:dyDescent="0.3">
      <c r="B103" t="s">
        <v>115</v>
      </c>
      <c r="C103" s="11">
        <f>IFERROR('Cash Flow Data '!C31,0)</f>
        <v>-2</v>
      </c>
      <c r="D103" s="11">
        <f>IFERROR('Cash Flow Data '!D31,0)</f>
        <v>-14</v>
      </c>
      <c r="E103" s="11">
        <f>IFERROR('Cash Flow Data '!E31,0)</f>
        <v>-6</v>
      </c>
      <c r="F103" s="11">
        <f>IFERROR('Cash Flow Data '!F31,0)</f>
        <v>-7</v>
      </c>
      <c r="G103" s="11">
        <f>IFERROR('Cash Flow Data '!G31,0)</f>
        <v>-90</v>
      </c>
      <c r="H103" s="11">
        <f>IFERROR('Cash Flow Data '!H31,0)</f>
        <v>-92</v>
      </c>
      <c r="I103" s="11">
        <f>IFERROR('Cash Flow Data '!I31,0)</f>
        <v>-82</v>
      </c>
      <c r="J103" s="11">
        <f>IFERROR('Cash Flow Data '!J31,0)</f>
        <v>-88</v>
      </c>
      <c r="K103" s="11">
        <f>IFERROR('Cash Flow Data '!K31,0)</f>
        <v>-110</v>
      </c>
      <c r="L103" s="11">
        <f>IFERROR('Cash Flow Data '!L31,0)</f>
        <v>-130</v>
      </c>
      <c r="M103" s="11">
        <f>IFERROR('Cash Flow Data '!M31,0)</f>
        <v>0</v>
      </c>
    </row>
    <row r="104" spans="2:13" outlineLevel="1" x14ac:dyDescent="0.3">
      <c r="B104" t="s">
        <v>116</v>
      </c>
      <c r="C104" s="11">
        <f>IFERROR('Cash Flow Data '!C32,0)</f>
        <v>-3354</v>
      </c>
      <c r="D104" s="11">
        <f>IFERROR('Cash Flow Data '!D32,0)</f>
        <v>-3572</v>
      </c>
      <c r="E104" s="11">
        <f>IFERROR('Cash Flow Data '!E32,0)</f>
        <v>-3911</v>
      </c>
      <c r="F104" s="11">
        <f>IFERROR('Cash Flow Data '!F32,0)</f>
        <v>-4554</v>
      </c>
      <c r="G104" s="11">
        <f>IFERROR('Cash Flow Data '!G32,0)</f>
        <v>-5196</v>
      </c>
      <c r="H104" s="11">
        <f>IFERROR('Cash Flow Data '!H32,0)</f>
        <v>-8811</v>
      </c>
      <c r="I104" s="11">
        <f>IFERROR('Cash Flow Data '!I32,0)</f>
        <v>-7526</v>
      </c>
      <c r="J104" s="11">
        <f>IFERROR('Cash Flow Data '!J32,0)</f>
        <v>-8474</v>
      </c>
      <c r="K104" s="11">
        <f>IFERROR('Cash Flow Data '!K32,0)</f>
        <v>-9416</v>
      </c>
      <c r="L104" s="11">
        <f>IFERROR('Cash Flow Data '!L32,0)</f>
        <v>-12473</v>
      </c>
      <c r="M104" s="11">
        <f>IFERROR('Cash Flow Data '!M32,0)</f>
        <v>0</v>
      </c>
    </row>
    <row r="105" spans="2:13" outlineLevel="1" x14ac:dyDescent="0.3">
      <c r="B105" t="s">
        <v>117</v>
      </c>
      <c r="C105" s="11">
        <f>IFERROR('Cash Flow Data '!C33,0)</f>
        <v>0</v>
      </c>
      <c r="D105" s="11">
        <f>IFERROR('Cash Flow Data '!D33,0)</f>
        <v>0</v>
      </c>
      <c r="E105" s="11">
        <f>IFERROR('Cash Flow Data '!E33,0)</f>
        <v>0</v>
      </c>
      <c r="F105" s="11">
        <f>IFERROR('Cash Flow Data '!F33,0)</f>
        <v>0</v>
      </c>
      <c r="G105" s="11">
        <f>IFERROR('Cash Flow Data '!G33,0)</f>
        <v>-373</v>
      </c>
      <c r="H105" s="11">
        <f>IFERROR('Cash Flow Data '!H33,0)</f>
        <v>-406</v>
      </c>
      <c r="I105" s="11">
        <f>IFERROR('Cash Flow Data '!I33,0)</f>
        <v>-407</v>
      </c>
      <c r="J105" s="11">
        <f>IFERROR('Cash Flow Data '!J33,0)</f>
        <v>-467</v>
      </c>
      <c r="K105" s="11">
        <f>IFERROR('Cash Flow Data '!K33,0)</f>
        <v>-423</v>
      </c>
      <c r="L105" s="11">
        <f>IFERROR('Cash Flow Data '!L33,0)</f>
        <v>-498</v>
      </c>
      <c r="M105" s="11">
        <f>IFERROR('Cash Flow Data '!M33,0)</f>
        <v>0</v>
      </c>
    </row>
    <row r="106" spans="2:13" outlineLevel="1" x14ac:dyDescent="0.3">
      <c r="B106" t="s">
        <v>118</v>
      </c>
      <c r="C106" s="11">
        <f>IFERROR('Cash Flow Data '!C34,0)</f>
        <v>-685</v>
      </c>
      <c r="D106" s="11">
        <f>IFERROR('Cash Flow Data '!D34,0)</f>
        <v>-728</v>
      </c>
      <c r="E106" s="11">
        <f>IFERROR('Cash Flow Data '!E34,0)</f>
        <v>-781</v>
      </c>
      <c r="F106" s="11">
        <f>IFERROR('Cash Flow Data '!F34,0)</f>
        <v>-928</v>
      </c>
      <c r="G106" s="11">
        <f>IFERROR('Cash Flow Data '!G34,0)</f>
        <v>-1061</v>
      </c>
      <c r="H106" s="11">
        <f>IFERROR('Cash Flow Data '!H34,0)</f>
        <v>0</v>
      </c>
      <c r="I106" s="11">
        <f>IFERROR('Cash Flow Data '!I34,0)</f>
        <v>0</v>
      </c>
      <c r="J106" s="11">
        <f>IFERROR('Cash Flow Data '!J34,0)</f>
        <v>-2</v>
      </c>
      <c r="K106" s="11">
        <f>IFERROR('Cash Flow Data '!K34,0)</f>
        <v>0</v>
      </c>
      <c r="L106" s="11">
        <f>IFERROR('Cash Flow Data '!L34,0)</f>
        <v>0</v>
      </c>
      <c r="M106" s="11">
        <f>IFERROR('Cash Flow Data '!M34,0)</f>
        <v>0</v>
      </c>
    </row>
    <row r="107" spans="2:13" outlineLevel="1" x14ac:dyDescent="0.3">
      <c r="B107" s="30" t="s">
        <v>125</v>
      </c>
      <c r="C107" s="31">
        <f>SUM(C100:C106)</f>
        <v>-3864</v>
      </c>
      <c r="D107" s="31">
        <f t="shared" ref="D107:M107" si="24">SUM(D100:D106)</f>
        <v>-4214</v>
      </c>
      <c r="E107" s="31">
        <f t="shared" si="24"/>
        <v>-4975</v>
      </c>
      <c r="F107" s="31">
        <f t="shared" si="24"/>
        <v>-5390</v>
      </c>
      <c r="G107" s="31">
        <f t="shared" si="24"/>
        <v>-6819</v>
      </c>
      <c r="H107" s="31">
        <f t="shared" si="24"/>
        <v>-9309</v>
      </c>
      <c r="I107" s="31">
        <f t="shared" si="24"/>
        <v>-8015</v>
      </c>
      <c r="J107" s="31">
        <f t="shared" si="24"/>
        <v>-8953</v>
      </c>
      <c r="K107" s="31">
        <f t="shared" si="24"/>
        <v>-10034</v>
      </c>
      <c r="L107" s="31">
        <f t="shared" si="24"/>
        <v>-13101</v>
      </c>
      <c r="M107" s="25">
        <f t="shared" si="24"/>
        <v>0</v>
      </c>
    </row>
    <row r="108" spans="2:13" outlineLevel="1" x14ac:dyDescent="0.3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2:13" ht="15" outlineLevel="1" thickBot="1" x14ac:dyDescent="0.35">
      <c r="B109" s="32" t="s">
        <v>126</v>
      </c>
      <c r="C109" s="33">
        <f>IFERROR(C83+C97+C107,0)</f>
        <v>-56</v>
      </c>
      <c r="D109" s="33">
        <f t="shared" ref="D109:M109" si="25">IFERROR(D83+D97+D107,0)</f>
        <v>364</v>
      </c>
      <c r="E109" s="33">
        <f t="shared" si="25"/>
        <v>857</v>
      </c>
      <c r="F109" s="33">
        <f t="shared" si="25"/>
        <v>-370</v>
      </c>
      <c r="G109" s="33">
        <f t="shared" si="25"/>
        <v>3006</v>
      </c>
      <c r="H109" s="33">
        <f t="shared" si="25"/>
        <v>-1475</v>
      </c>
      <c r="I109" s="33">
        <f t="shared" si="25"/>
        <v>-1695</v>
      </c>
      <c r="J109" s="33">
        <f t="shared" si="25"/>
        <v>-1406</v>
      </c>
      <c r="K109" s="33">
        <f t="shared" si="25"/>
        <v>1424</v>
      </c>
      <c r="L109" s="33">
        <f t="shared" si="25"/>
        <v>4470</v>
      </c>
      <c r="M109" s="33">
        <f t="shared" si="25"/>
        <v>0</v>
      </c>
    </row>
    <row r="110" spans="2:13" ht="15" thickTop="1" x14ac:dyDescent="0.3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2:13" x14ac:dyDescent="0.3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2:13" x14ac:dyDescent="0.3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spans="3:13" x14ac:dyDescent="0.3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3:13" x14ac:dyDescent="0.3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3:13" x14ac:dyDescent="0.3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3:13" x14ac:dyDescent="0.3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spans="3:13" x14ac:dyDescent="0.3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spans="3:13" x14ac:dyDescent="0.3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spans="3:13" x14ac:dyDescent="0.3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3:13" x14ac:dyDescent="0.3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spans="3:13" x14ac:dyDescent="0.3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3:13" x14ac:dyDescent="0.3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spans="3:13" x14ac:dyDescent="0.3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spans="3:13" x14ac:dyDescent="0.3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spans="3:13" x14ac:dyDescent="0.3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spans="3:13" x14ac:dyDescent="0.3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spans="3:13" x14ac:dyDescent="0.3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spans="3:13" x14ac:dyDescent="0.3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spans="3:13" x14ac:dyDescent="0.3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spans="3:13" x14ac:dyDescent="0.3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spans="3:13" x14ac:dyDescent="0.3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spans="3:13" x14ac:dyDescent="0.3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9 M6 C15:M15 M21 M30 M33 M2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7682-46D6-4EEB-95E1-0D3240A1E780}">
  <sheetPr>
    <tabColor theme="6" tint="0.59999389629810485"/>
  </sheetPr>
  <dimension ref="B2:O23"/>
  <sheetViews>
    <sheetView showGridLines="0" zoomScale="125" workbookViewId="0">
      <selection activeCell="M24" sqref="M24"/>
    </sheetView>
  </sheetViews>
  <sheetFormatPr defaultRowHeight="14.4" x14ac:dyDescent="0.3"/>
  <cols>
    <col min="1" max="1" width="1.77734375" customWidth="1"/>
    <col min="2" max="2" width="11.77734375" bestFit="1" customWidth="1"/>
    <col min="3" max="3" width="10.77734375" customWidth="1"/>
    <col min="4" max="4" width="11.6640625" customWidth="1"/>
    <col min="5" max="5" width="12.44140625" bestFit="1" customWidth="1"/>
    <col min="6" max="6" width="1.88671875" style="64" customWidth="1"/>
    <col min="7" max="7" width="11.77734375" bestFit="1" customWidth="1"/>
    <col min="8" max="8" width="9.109375" customWidth="1"/>
    <col min="10" max="10" width="12.44140625" bestFit="1" customWidth="1"/>
    <col min="11" max="11" width="1.88671875" customWidth="1"/>
    <col min="12" max="12" width="14" customWidth="1"/>
    <col min="13" max="13" width="13.109375" customWidth="1"/>
    <col min="14" max="14" width="12.5546875" customWidth="1"/>
    <col min="15" max="15" width="15.5546875" customWidth="1"/>
  </cols>
  <sheetData>
    <row r="2" spans="2:15" x14ac:dyDescent="0.3">
      <c r="C2" s="54"/>
    </row>
    <row r="3" spans="2:15" x14ac:dyDescent="0.3">
      <c r="B3" s="66" t="str">
        <f>'Data Sheet'!B1&amp;" - "&amp;'Data Sheet'!A17</f>
        <v>HINDUSTAN UNILEVER LTD - Sales</v>
      </c>
      <c r="C3" s="67"/>
      <c r="D3" s="67"/>
      <c r="E3" s="67"/>
      <c r="G3" s="66" t="str">
        <f>'Data Sheet'!B1&amp;" - "&amp;'Historical Financial Statement '!B18&amp;" Forecasting"</f>
        <v>HINDUSTAN UNILEVER LTD - EBITDA Forecasting</v>
      </c>
      <c r="H3" s="66"/>
      <c r="I3" s="66"/>
      <c r="J3" s="66"/>
      <c r="L3" s="66" t="str">
        <f>'Data Sheet'!B1&amp;" - "&amp;'Historical Financial Statement '!B38&amp;" Forecasting"</f>
        <v>HINDUSTAN UNILEVER LTD - Earnings Per Share  Forecasting</v>
      </c>
      <c r="M3" s="66"/>
      <c r="N3" s="66"/>
      <c r="O3" s="66"/>
    </row>
    <row r="4" spans="2:15" x14ac:dyDescent="0.3">
      <c r="B4" s="55" t="s">
        <v>160</v>
      </c>
      <c r="C4" s="55" t="s">
        <v>161</v>
      </c>
      <c r="D4" s="55" t="s">
        <v>1</v>
      </c>
      <c r="E4" s="55" t="s">
        <v>58</v>
      </c>
      <c r="G4" s="55" t="s">
        <v>160</v>
      </c>
      <c r="H4" s="55" t="s">
        <v>161</v>
      </c>
      <c r="I4" s="55" t="s">
        <v>1</v>
      </c>
      <c r="J4" s="55" t="s">
        <v>58</v>
      </c>
      <c r="L4" s="55" t="s">
        <v>160</v>
      </c>
      <c r="M4" s="55" t="s">
        <v>161</v>
      </c>
      <c r="N4" s="55" t="s">
        <v>1</v>
      </c>
      <c r="O4" s="55" t="s">
        <v>58</v>
      </c>
    </row>
    <row r="5" spans="2:15" x14ac:dyDescent="0.3">
      <c r="B5">
        <v>1</v>
      </c>
      <c r="C5" s="57">
        <f>'Data Sheet'!B16</f>
        <v>42460</v>
      </c>
      <c r="D5" s="58">
        <f t="array" ref="D5:D14">TRANSPOSE('Data Sheet'!B17:K17)</f>
        <v>32186</v>
      </c>
      <c r="G5">
        <v>1</v>
      </c>
      <c r="H5" s="57">
        <f>'Data Sheet'!B16</f>
        <v>42460</v>
      </c>
      <c r="I5" s="58">
        <f t="array" ref="I5:I14">TRANSPOSE('Historical Financial Statement '!C18:L18)</f>
        <v>5910</v>
      </c>
      <c r="L5">
        <v>1</v>
      </c>
      <c r="M5" s="57">
        <f>'Data Sheet'!G16</f>
        <v>44286</v>
      </c>
      <c r="N5" s="58">
        <f t="array" ref="N5:N14">TRANSPOSE('Historical Financial Statement '!C38:L38)</f>
        <v>16.937011876704101</v>
      </c>
    </row>
    <row r="6" spans="2:15" x14ac:dyDescent="0.3">
      <c r="B6">
        <f>B5+1</f>
        <v>2</v>
      </c>
      <c r="C6" s="57">
        <f>C5+365</f>
        <v>42825</v>
      </c>
      <c r="D6" s="58">
        <v>33162</v>
      </c>
      <c r="E6" s="59">
        <f>D6/D5-1</f>
        <v>3.03237432424035E-2</v>
      </c>
      <c r="G6">
        <f>G5+1</f>
        <v>2</v>
      </c>
      <c r="H6" s="57">
        <f>H5+365</f>
        <v>42825</v>
      </c>
      <c r="I6" s="58">
        <v>6328</v>
      </c>
      <c r="J6" s="59">
        <f>I6/I5-1</f>
        <v>7.0727580372250465E-2</v>
      </c>
      <c r="L6">
        <f>L5+1</f>
        <v>2</v>
      </c>
      <c r="M6" s="57">
        <f>M5+365</f>
        <v>44651</v>
      </c>
      <c r="N6" s="58">
        <v>17.945756133622879</v>
      </c>
      <c r="O6" s="59">
        <f>N6/N5-1</f>
        <v>5.9558572920778818E-2</v>
      </c>
    </row>
    <row r="7" spans="2:15" x14ac:dyDescent="0.3">
      <c r="B7">
        <f t="shared" ref="B7:B19" si="0">B6+1</f>
        <v>3</v>
      </c>
      <c r="C7" s="57">
        <f t="shared" ref="C7:C19" si="1">C6+365</f>
        <v>43190</v>
      </c>
      <c r="D7" s="58">
        <v>35545</v>
      </c>
      <c r="E7" s="59">
        <f t="shared" ref="E7:E13" si="2">D7/D6-1</f>
        <v>7.1859357095470644E-2</v>
      </c>
      <c r="G7">
        <f t="shared" ref="G7:G19" si="3">G6+1</f>
        <v>3</v>
      </c>
      <c r="H7" s="57">
        <f t="shared" ref="H7:H19" si="4">H6+365</f>
        <v>43190</v>
      </c>
      <c r="I7" s="58">
        <v>7499</v>
      </c>
      <c r="J7" s="59">
        <f t="shared" ref="J7:J13" si="5">I7/I6-1</f>
        <v>0.1850505689001265</v>
      </c>
      <c r="L7">
        <f t="shared" ref="L7:L19" si="6">L6+1</f>
        <v>3</v>
      </c>
      <c r="M7" s="57">
        <f t="shared" ref="M7:M19" si="7">M6+365</f>
        <v>45016</v>
      </c>
      <c r="N7" s="58">
        <v>22.51790251790252</v>
      </c>
      <c r="O7" s="59">
        <f t="shared" ref="O7:O13" si="8">N7/N6-1</f>
        <v>0.25477591193348159</v>
      </c>
    </row>
    <row r="8" spans="2:15" x14ac:dyDescent="0.3">
      <c r="B8">
        <f t="shared" si="0"/>
        <v>4</v>
      </c>
      <c r="C8" s="57">
        <f t="shared" si="1"/>
        <v>43555</v>
      </c>
      <c r="D8" s="58">
        <v>39310</v>
      </c>
      <c r="E8" s="59">
        <f t="shared" si="2"/>
        <v>0.1059220706147137</v>
      </c>
      <c r="G8">
        <f t="shared" si="3"/>
        <v>4</v>
      </c>
      <c r="H8" s="57">
        <f t="shared" si="4"/>
        <v>43555</v>
      </c>
      <c r="I8" s="58">
        <v>8880</v>
      </c>
      <c r="J8" s="59">
        <f t="shared" si="5"/>
        <v>0.1841578877183625</v>
      </c>
      <c r="L8">
        <f t="shared" si="6"/>
        <v>4</v>
      </c>
      <c r="M8" s="57">
        <f t="shared" si="7"/>
        <v>45381</v>
      </c>
      <c r="N8" s="58">
        <v>26.507137247655564</v>
      </c>
      <c r="O8" s="59">
        <f t="shared" si="8"/>
        <v>0.17715836217789205</v>
      </c>
    </row>
    <row r="9" spans="2:15" x14ac:dyDescent="0.3">
      <c r="B9">
        <f t="shared" si="0"/>
        <v>5</v>
      </c>
      <c r="C9" s="57">
        <f t="shared" si="1"/>
        <v>43920</v>
      </c>
      <c r="D9" s="58">
        <v>39783</v>
      </c>
      <c r="E9" s="59">
        <f t="shared" si="2"/>
        <v>1.2032561689137689E-2</v>
      </c>
      <c r="G9">
        <f t="shared" si="3"/>
        <v>5</v>
      </c>
      <c r="H9" s="57">
        <f t="shared" si="4"/>
        <v>43920</v>
      </c>
      <c r="I9" s="58">
        <v>9861</v>
      </c>
      <c r="J9" s="59">
        <f t="shared" si="5"/>
        <v>0.11047297297297298</v>
      </c>
      <c r="L9">
        <f t="shared" si="6"/>
        <v>5</v>
      </c>
      <c r="M9" s="57">
        <f t="shared" si="7"/>
        <v>45746</v>
      </c>
      <c r="N9" s="58">
        <v>29.249815225424982</v>
      </c>
      <c r="O9" s="59">
        <f t="shared" si="8"/>
        <v>0.10346941475213423</v>
      </c>
    </row>
    <row r="10" spans="2:15" x14ac:dyDescent="0.3">
      <c r="B10">
        <f t="shared" si="0"/>
        <v>6</v>
      </c>
      <c r="C10" s="57">
        <f t="shared" si="1"/>
        <v>44285</v>
      </c>
      <c r="D10" s="58">
        <v>47028</v>
      </c>
      <c r="E10" s="59">
        <f t="shared" si="2"/>
        <v>0.18211296282331646</v>
      </c>
      <c r="G10">
        <f t="shared" si="3"/>
        <v>6</v>
      </c>
      <c r="H10" s="57">
        <f t="shared" si="4"/>
        <v>44285</v>
      </c>
      <c r="I10" s="58">
        <v>11626</v>
      </c>
      <c r="J10" s="59">
        <f t="shared" si="5"/>
        <v>0.1789879322583916</v>
      </c>
      <c r="L10">
        <f t="shared" si="6"/>
        <v>6</v>
      </c>
      <c r="M10" s="57">
        <f t="shared" si="7"/>
        <v>46111</v>
      </c>
      <c r="N10" s="58">
        <v>33.320565202587673</v>
      </c>
      <c r="O10" s="59">
        <f t="shared" si="8"/>
        <v>0.1391718185496178</v>
      </c>
    </row>
    <row r="11" spans="2:15" x14ac:dyDescent="0.3">
      <c r="B11">
        <f t="shared" si="0"/>
        <v>7</v>
      </c>
      <c r="C11" s="57">
        <f t="shared" si="1"/>
        <v>44650</v>
      </c>
      <c r="D11" s="58">
        <v>52446</v>
      </c>
      <c r="E11" s="59">
        <f t="shared" si="2"/>
        <v>0.11520796121459553</v>
      </c>
      <c r="G11">
        <f t="shared" si="3"/>
        <v>7</v>
      </c>
      <c r="H11" s="57">
        <f t="shared" si="4"/>
        <v>44650</v>
      </c>
      <c r="I11" s="58">
        <v>12857</v>
      </c>
      <c r="J11" s="59">
        <f t="shared" si="5"/>
        <v>0.10588336487183891</v>
      </c>
      <c r="L11">
        <f t="shared" si="6"/>
        <v>7</v>
      </c>
      <c r="M11" s="57">
        <f t="shared" si="7"/>
        <v>46476</v>
      </c>
      <c r="N11" s="58">
        <v>36.912665985699689</v>
      </c>
      <c r="O11" s="59">
        <f t="shared" si="8"/>
        <v>0.10780431728190054</v>
      </c>
    </row>
    <row r="12" spans="2:15" x14ac:dyDescent="0.3">
      <c r="B12">
        <f t="shared" si="0"/>
        <v>8</v>
      </c>
      <c r="C12" s="57">
        <f t="shared" si="1"/>
        <v>45015</v>
      </c>
      <c r="D12" s="58">
        <v>60580</v>
      </c>
      <c r="E12" s="59">
        <f t="shared" si="2"/>
        <v>0.15509285741524614</v>
      </c>
      <c r="G12">
        <f t="shared" si="3"/>
        <v>8</v>
      </c>
      <c r="H12" s="57">
        <f t="shared" si="4"/>
        <v>45015</v>
      </c>
      <c r="I12" s="58">
        <v>14147</v>
      </c>
      <c r="J12" s="59">
        <f t="shared" si="5"/>
        <v>0.10033444816053505</v>
      </c>
      <c r="L12">
        <f t="shared" si="6"/>
        <v>8</v>
      </c>
      <c r="M12" s="57">
        <f t="shared" si="7"/>
        <v>46841</v>
      </c>
      <c r="N12" s="58">
        <v>41.262342526387471</v>
      </c>
      <c r="O12" s="59">
        <f t="shared" si="8"/>
        <v>0.11783696529459253</v>
      </c>
    </row>
    <row r="13" spans="2:15" x14ac:dyDescent="0.3">
      <c r="B13">
        <f t="shared" si="0"/>
        <v>9</v>
      </c>
      <c r="C13" s="57">
        <f t="shared" si="1"/>
        <v>45380</v>
      </c>
      <c r="D13" s="58">
        <v>61896</v>
      </c>
      <c r="E13" s="59">
        <f t="shared" si="2"/>
        <v>2.1723341036645749E-2</v>
      </c>
      <c r="G13">
        <f t="shared" si="3"/>
        <v>9</v>
      </c>
      <c r="H13" s="57">
        <f t="shared" si="4"/>
        <v>45380</v>
      </c>
      <c r="I13" s="58">
        <v>14659</v>
      </c>
      <c r="J13" s="59">
        <f t="shared" si="5"/>
        <v>3.6191418675337594E-2</v>
      </c>
      <c r="L13">
        <f t="shared" si="6"/>
        <v>9</v>
      </c>
      <c r="M13" s="57">
        <f t="shared" si="7"/>
        <v>47206</v>
      </c>
      <c r="N13" s="58">
        <v>40.283452502553622</v>
      </c>
      <c r="O13" s="59">
        <f t="shared" si="8"/>
        <v>-2.3723568849922771E-2</v>
      </c>
    </row>
    <row r="14" spans="2:15" x14ac:dyDescent="0.3">
      <c r="B14">
        <f t="shared" si="0"/>
        <v>10</v>
      </c>
      <c r="C14" s="57">
        <f t="shared" si="1"/>
        <v>45745</v>
      </c>
      <c r="D14" s="58">
        <v>63121</v>
      </c>
      <c r="E14" s="59">
        <f>D14/D13-1</f>
        <v>1.9791262763344974E-2</v>
      </c>
      <c r="G14">
        <f t="shared" si="3"/>
        <v>10</v>
      </c>
      <c r="H14" s="57">
        <f t="shared" si="4"/>
        <v>45745</v>
      </c>
      <c r="I14" s="58">
        <v>14843</v>
      </c>
      <c r="J14" s="59">
        <f>I14/I13-1</f>
        <v>1.255201582645471E-2</v>
      </c>
      <c r="L14">
        <f t="shared" si="6"/>
        <v>10</v>
      </c>
      <c r="M14" s="57">
        <f t="shared" si="7"/>
        <v>47571</v>
      </c>
      <c r="N14" s="58">
        <v>39.789751447054819</v>
      </c>
      <c r="O14" s="59">
        <f>N14/N13-1</f>
        <v>-1.2255678816692983E-2</v>
      </c>
    </row>
    <row r="15" spans="2:15" x14ac:dyDescent="0.3">
      <c r="B15" s="60">
        <f t="shared" si="0"/>
        <v>11</v>
      </c>
      <c r="C15" s="61">
        <f t="shared" si="1"/>
        <v>46110</v>
      </c>
      <c r="D15" s="62">
        <f>FORECAST(B15,$D$5:$D$14,$B$5:$B$14)</f>
        <v>68218.399999999994</v>
      </c>
      <c r="E15" s="63">
        <f t="shared" ref="E15:E19" si="9">D15/D14-1</f>
        <v>8.0756008301515969E-2</v>
      </c>
      <c r="G15" s="60">
        <f t="shared" si="3"/>
        <v>11</v>
      </c>
      <c r="H15" s="61">
        <f t="shared" si="4"/>
        <v>46110</v>
      </c>
      <c r="I15" s="62">
        <f>FORECAST(G15,$I$5:$I$14,$G$5:$G$14)</f>
        <v>16849.333333333336</v>
      </c>
      <c r="J15" s="63">
        <f t="shared" ref="J15:J19" si="10">I15/I14-1</f>
        <v>0.13517033843113491</v>
      </c>
      <c r="L15" s="60">
        <f t="shared" si="6"/>
        <v>11</v>
      </c>
      <c r="M15" s="61">
        <f t="shared" si="7"/>
        <v>47936</v>
      </c>
      <c r="N15" s="62">
        <f>FORECAST(L15,$N$5:$N$14,$L$5:$L$14)</f>
        <v>46.840908964872376</v>
      </c>
      <c r="O15" s="63">
        <f t="shared" ref="O15:O19" si="11">N15/N14-1</f>
        <v>0.17721039366631874</v>
      </c>
    </row>
    <row r="16" spans="2:15" x14ac:dyDescent="0.3">
      <c r="B16" s="60">
        <f t="shared" si="0"/>
        <v>12</v>
      </c>
      <c r="C16" s="61">
        <f t="shared" si="1"/>
        <v>46475</v>
      </c>
      <c r="D16" s="62">
        <f t="shared" ref="D16:D19" si="12">FORECAST(B16,$D$5:$D$14,$B$5:$B$14)</f>
        <v>72166.163636363635</v>
      </c>
      <c r="E16" s="63">
        <f t="shared" si="9"/>
        <v>5.7869484425955964E-2</v>
      </c>
      <c r="G16" s="60">
        <f t="shared" si="3"/>
        <v>12</v>
      </c>
      <c r="H16" s="61">
        <f t="shared" si="4"/>
        <v>46475</v>
      </c>
      <c r="I16" s="62">
        <f t="shared" ref="I16:I19" si="13">FORECAST(G16,$I$5:$I$14,$G$5:$G$14)</f>
        <v>17974.484848484848</v>
      </c>
      <c r="J16" s="63">
        <f t="shared" si="10"/>
        <v>6.6777212658355234E-2</v>
      </c>
      <c r="L16" s="60">
        <f t="shared" si="6"/>
        <v>12</v>
      </c>
      <c r="M16" s="61">
        <f t="shared" si="7"/>
        <v>48301</v>
      </c>
      <c r="N16" s="62">
        <f t="shared" ref="N16:N19" si="14">FORECAST(L16,$N$5:$N$14,$L$5:$L$14)</f>
        <v>49.816957855474747</v>
      </c>
      <c r="O16" s="63">
        <f t="shared" si="11"/>
        <v>6.3535250625349926E-2</v>
      </c>
    </row>
    <row r="17" spans="2:15" x14ac:dyDescent="0.3">
      <c r="B17" s="60">
        <f t="shared" si="0"/>
        <v>13</v>
      </c>
      <c r="C17" s="61">
        <f t="shared" si="1"/>
        <v>46840</v>
      </c>
      <c r="D17" s="62">
        <f t="shared" si="12"/>
        <v>76113.927272727276</v>
      </c>
      <c r="E17" s="63">
        <f t="shared" si="9"/>
        <v>5.4703803520108618E-2</v>
      </c>
      <c r="G17" s="60">
        <f t="shared" si="3"/>
        <v>13</v>
      </c>
      <c r="H17" s="61">
        <f t="shared" si="4"/>
        <v>46840</v>
      </c>
      <c r="I17" s="62">
        <f t="shared" si="13"/>
        <v>19099.636363636364</v>
      </c>
      <c r="J17" s="63">
        <f t="shared" si="10"/>
        <v>6.259714949473838E-2</v>
      </c>
      <c r="L17" s="60">
        <f t="shared" si="6"/>
        <v>13</v>
      </c>
      <c r="M17" s="61">
        <f t="shared" si="7"/>
        <v>48666</v>
      </c>
      <c r="N17" s="62">
        <f t="shared" si="14"/>
        <v>52.793006746077118</v>
      </c>
      <c r="O17" s="63">
        <f t="shared" si="11"/>
        <v>5.9739675377935786E-2</v>
      </c>
    </row>
    <row r="18" spans="2:15" x14ac:dyDescent="0.3">
      <c r="B18" s="60">
        <f t="shared" si="0"/>
        <v>14</v>
      </c>
      <c r="C18" s="61">
        <f t="shared" si="1"/>
        <v>47205</v>
      </c>
      <c r="D18" s="62">
        <f t="shared" si="12"/>
        <v>80061.690909090903</v>
      </c>
      <c r="E18" s="63">
        <f t="shared" si="9"/>
        <v>5.1866508243862075E-2</v>
      </c>
      <c r="G18" s="60">
        <f t="shared" si="3"/>
        <v>14</v>
      </c>
      <c r="H18" s="61">
        <f t="shared" si="4"/>
        <v>47205</v>
      </c>
      <c r="I18" s="62">
        <f t="shared" si="13"/>
        <v>20224.78787878788</v>
      </c>
      <c r="J18" s="63">
        <f t="shared" si="10"/>
        <v>5.890957784377937E-2</v>
      </c>
      <c r="L18" s="60">
        <f t="shared" si="6"/>
        <v>14</v>
      </c>
      <c r="M18" s="61">
        <f t="shared" si="7"/>
        <v>49031</v>
      </c>
      <c r="N18" s="62">
        <f t="shared" si="14"/>
        <v>55.769055636679497</v>
      </c>
      <c r="O18" s="63">
        <f t="shared" si="11"/>
        <v>5.6372028683960407E-2</v>
      </c>
    </row>
    <row r="19" spans="2:15" x14ac:dyDescent="0.3">
      <c r="B19" s="60">
        <f t="shared" si="0"/>
        <v>15</v>
      </c>
      <c r="C19" s="61">
        <f t="shared" si="1"/>
        <v>47570</v>
      </c>
      <c r="D19" s="62">
        <f t="shared" si="12"/>
        <v>84009.454545454544</v>
      </c>
      <c r="E19" s="63">
        <f t="shared" si="9"/>
        <v>4.930902147503069E-2</v>
      </c>
      <c r="G19" s="60">
        <f t="shared" si="3"/>
        <v>15</v>
      </c>
      <c r="H19" s="61">
        <f t="shared" si="4"/>
        <v>47570</v>
      </c>
      <c r="I19" s="62">
        <f t="shared" si="13"/>
        <v>21349.939393939392</v>
      </c>
      <c r="J19" s="63">
        <f t="shared" si="10"/>
        <v>5.5632302395200561E-2</v>
      </c>
      <c r="L19" s="60">
        <f t="shared" si="6"/>
        <v>15</v>
      </c>
      <c r="M19" s="61">
        <f t="shared" si="7"/>
        <v>49396</v>
      </c>
      <c r="N19" s="62">
        <f t="shared" si="14"/>
        <v>58.745104527281867</v>
      </c>
      <c r="O19" s="63">
        <f t="shared" si="11"/>
        <v>5.3363802858533926E-2</v>
      </c>
    </row>
    <row r="20" spans="2:15" x14ac:dyDescent="0.3">
      <c r="C20" s="56"/>
    </row>
    <row r="21" spans="2:15" x14ac:dyDescent="0.3">
      <c r="C21" s="56"/>
    </row>
    <row r="22" spans="2:15" x14ac:dyDescent="0.3">
      <c r="C22" s="56"/>
    </row>
    <row r="23" spans="2:15" x14ac:dyDescent="0.3">
      <c r="C23" s="56"/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CEA7-F4EC-4A22-9070-76FA0B41B960}">
  <dimension ref="B2:L35"/>
  <sheetViews>
    <sheetView zoomScale="107" workbookViewId="0">
      <selection activeCell="L17" sqref="L17"/>
    </sheetView>
  </sheetViews>
  <sheetFormatPr defaultRowHeight="14.4" x14ac:dyDescent="0.3"/>
  <cols>
    <col min="1" max="1" width="1.88671875" customWidth="1"/>
    <col min="2" max="2" width="27.44140625" bestFit="1" customWidth="1"/>
  </cols>
  <sheetData>
    <row r="2" spans="2:12" x14ac:dyDescent="0.3">
      <c r="C2" s="28">
        <v>42430</v>
      </c>
      <c r="D2" s="28">
        <v>42795</v>
      </c>
      <c r="E2" s="28">
        <v>43160</v>
      </c>
      <c r="F2" s="28">
        <v>43525</v>
      </c>
      <c r="G2" s="28">
        <v>43891</v>
      </c>
      <c r="H2" s="28">
        <v>44256</v>
      </c>
      <c r="I2" s="28">
        <v>44621</v>
      </c>
      <c r="J2" s="28">
        <v>44986</v>
      </c>
      <c r="K2" s="28">
        <v>45352</v>
      </c>
      <c r="L2" s="28">
        <v>45717</v>
      </c>
    </row>
    <row r="3" spans="2:12" x14ac:dyDescent="0.3">
      <c r="B3" t="s">
        <v>89</v>
      </c>
      <c r="C3" s="29">
        <v>4171</v>
      </c>
      <c r="D3" s="29">
        <v>5185</v>
      </c>
      <c r="E3" s="29">
        <v>6059</v>
      </c>
      <c r="F3" s="29">
        <v>5800</v>
      </c>
      <c r="G3" s="29">
        <v>7623</v>
      </c>
      <c r="H3" s="29">
        <v>9163</v>
      </c>
      <c r="I3" s="29">
        <v>9048</v>
      </c>
      <c r="J3" s="29">
        <v>9991</v>
      </c>
      <c r="K3" s="29">
        <v>15469</v>
      </c>
      <c r="L3" s="29">
        <v>11886</v>
      </c>
    </row>
    <row r="4" spans="2:12" x14ac:dyDescent="0.3">
      <c r="B4" t="s">
        <v>90</v>
      </c>
      <c r="C4" s="29">
        <v>6025</v>
      </c>
      <c r="D4" s="29">
        <v>6512</v>
      </c>
      <c r="E4" s="29">
        <v>7485</v>
      </c>
      <c r="F4" s="29">
        <v>8909</v>
      </c>
      <c r="G4" s="29">
        <v>9723</v>
      </c>
      <c r="H4" s="29">
        <v>11672</v>
      </c>
      <c r="I4" s="29">
        <v>12829</v>
      </c>
      <c r="J4" s="29">
        <v>14089</v>
      </c>
      <c r="K4" s="29">
        <v>14537</v>
      </c>
      <c r="L4" s="29">
        <v>14942</v>
      </c>
    </row>
    <row r="5" spans="2:12" x14ac:dyDescent="0.3">
      <c r="B5" t="s">
        <v>42</v>
      </c>
      <c r="C5">
        <v>-257</v>
      </c>
      <c r="D5">
        <v>173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2:12" x14ac:dyDescent="0.3">
      <c r="B6" t="s">
        <v>29</v>
      </c>
      <c r="C6">
        <v>89</v>
      </c>
      <c r="D6">
        <v>37</v>
      </c>
      <c r="E6">
        <v>-146</v>
      </c>
      <c r="F6">
        <v>-195</v>
      </c>
      <c r="G6">
        <v>-331</v>
      </c>
      <c r="H6">
        <v>-543</v>
      </c>
      <c r="I6">
        <v>-758</v>
      </c>
      <c r="J6">
        <v>-339</v>
      </c>
      <c r="K6">
        <v>74</v>
      </c>
      <c r="L6">
        <v>-584</v>
      </c>
    </row>
    <row r="7" spans="2:12" x14ac:dyDescent="0.3">
      <c r="B7" t="s">
        <v>91</v>
      </c>
      <c r="C7">
        <v>164</v>
      </c>
      <c r="D7">
        <v>501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2:12" x14ac:dyDescent="0.3">
      <c r="B8" t="s">
        <v>92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2" x14ac:dyDescent="0.3">
      <c r="B9" t="s">
        <v>93</v>
      </c>
      <c r="C9">
        <v>0</v>
      </c>
      <c r="D9">
        <v>-46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2:12" x14ac:dyDescent="0.3">
      <c r="B10" t="s">
        <v>94</v>
      </c>
      <c r="C10">
        <v>-77</v>
      </c>
      <c r="D10">
        <v>-99</v>
      </c>
      <c r="E10">
        <v>982</v>
      </c>
      <c r="F10">
        <v>-147</v>
      </c>
      <c r="G10">
        <v>742</v>
      </c>
      <c r="H10">
        <v>442</v>
      </c>
      <c r="I10">
        <v>-242</v>
      </c>
      <c r="J10">
        <v>-621</v>
      </c>
      <c r="K10" s="29">
        <v>1239</v>
      </c>
      <c r="L10">
        <v>-204</v>
      </c>
    </row>
    <row r="11" spans="2:12" x14ac:dyDescent="0.3">
      <c r="B11" t="s">
        <v>95</v>
      </c>
      <c r="C11">
        <v>-81</v>
      </c>
      <c r="D11">
        <v>566</v>
      </c>
      <c r="E11">
        <v>836</v>
      </c>
      <c r="F11">
        <v>-342</v>
      </c>
      <c r="G11">
        <v>411</v>
      </c>
      <c r="H11">
        <v>-101</v>
      </c>
      <c r="I11" s="29">
        <v>-1000</v>
      </c>
      <c r="J11">
        <v>-960</v>
      </c>
      <c r="K11" s="29">
        <v>1313</v>
      </c>
      <c r="L11">
        <v>-788</v>
      </c>
    </row>
    <row r="12" spans="2:12" x14ac:dyDescent="0.3">
      <c r="B12" t="s">
        <v>96</v>
      </c>
      <c r="C12" s="29">
        <v>-1765</v>
      </c>
      <c r="D12" s="29">
        <v>-1859</v>
      </c>
      <c r="E12" s="29">
        <v>-2264</v>
      </c>
      <c r="F12" s="29">
        <v>-2767</v>
      </c>
      <c r="G12" s="29">
        <v>-2505</v>
      </c>
      <c r="H12" s="29">
        <v>-2407</v>
      </c>
      <c r="I12" s="29">
        <v>-2784</v>
      </c>
      <c r="J12" s="29">
        <v>-3138</v>
      </c>
      <c r="K12">
        <v>-381</v>
      </c>
      <c r="L12" s="29">
        <v>-2268</v>
      </c>
    </row>
    <row r="13" spans="2:12" x14ac:dyDescent="0.3">
      <c r="B13" t="s">
        <v>97</v>
      </c>
      <c r="C13">
        <v>-8</v>
      </c>
      <c r="D13">
        <v>-21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2:12" x14ac:dyDescent="0.3">
      <c r="B14" t="s">
        <v>98</v>
      </c>
      <c r="C14">
        <v>0</v>
      </c>
      <c r="D14">
        <v>-13</v>
      </c>
      <c r="E14">
        <v>2</v>
      </c>
      <c r="F14">
        <v>0</v>
      </c>
      <c r="G14">
        <v>-6</v>
      </c>
      <c r="H14">
        <v>-1</v>
      </c>
      <c r="I14">
        <v>3</v>
      </c>
      <c r="J14">
        <v>0</v>
      </c>
      <c r="K14">
        <v>0</v>
      </c>
      <c r="L14">
        <v>0</v>
      </c>
    </row>
    <row r="15" spans="2:12" x14ac:dyDescent="0.3">
      <c r="B15" t="s">
        <v>99</v>
      </c>
      <c r="C15">
        <v>-282</v>
      </c>
      <c r="D15" s="29">
        <v>-1173</v>
      </c>
      <c r="E15" s="29">
        <v>-1063</v>
      </c>
      <c r="F15">
        <v>-438</v>
      </c>
      <c r="G15" s="29">
        <v>1791</v>
      </c>
      <c r="H15" s="29">
        <v>-1228</v>
      </c>
      <c r="I15" s="29">
        <v>-1728</v>
      </c>
      <c r="J15" s="29">
        <v>-1484</v>
      </c>
      <c r="K15" s="29">
        <v>-5324</v>
      </c>
      <c r="L15" s="29">
        <v>6473</v>
      </c>
    </row>
    <row r="16" spans="2:12" x14ac:dyDescent="0.3">
      <c r="B16" t="s">
        <v>100</v>
      </c>
      <c r="C16">
        <v>-810</v>
      </c>
      <c r="D16" s="29">
        <v>-1113</v>
      </c>
      <c r="E16">
        <v>-895</v>
      </c>
      <c r="F16">
        <v>-767</v>
      </c>
      <c r="G16">
        <v>-862</v>
      </c>
      <c r="H16" s="29">
        <v>-4163</v>
      </c>
      <c r="I16" s="29">
        <v>-1228</v>
      </c>
      <c r="J16" s="29">
        <v>-1192</v>
      </c>
      <c r="K16" s="29">
        <v>-1477</v>
      </c>
      <c r="L16" s="29">
        <v>-1275</v>
      </c>
    </row>
    <row r="17" spans="2:12" x14ac:dyDescent="0.3">
      <c r="B17" t="s">
        <v>101</v>
      </c>
      <c r="C17">
        <v>99</v>
      </c>
      <c r="D17">
        <v>176</v>
      </c>
      <c r="E17">
        <v>32</v>
      </c>
      <c r="F17">
        <v>13</v>
      </c>
      <c r="G17">
        <v>52</v>
      </c>
      <c r="H17">
        <v>97</v>
      </c>
      <c r="I17">
        <v>175</v>
      </c>
      <c r="J17">
        <v>181</v>
      </c>
      <c r="K17">
        <v>20</v>
      </c>
      <c r="L17">
        <v>13</v>
      </c>
    </row>
    <row r="18" spans="2:12" x14ac:dyDescent="0.3">
      <c r="B18" t="s">
        <v>102</v>
      </c>
      <c r="C18" s="29">
        <v>-20666</v>
      </c>
      <c r="D18" s="29">
        <v>-31214</v>
      </c>
      <c r="E18" s="29">
        <v>-51855</v>
      </c>
      <c r="F18" s="29">
        <v>-74365</v>
      </c>
      <c r="G18" s="29">
        <v>-36090</v>
      </c>
      <c r="H18" s="29">
        <v>-39920</v>
      </c>
      <c r="I18" s="29">
        <v>-48522</v>
      </c>
      <c r="J18" s="29">
        <v>-22649</v>
      </c>
      <c r="K18" s="29">
        <v>-21337</v>
      </c>
      <c r="L18" s="29">
        <v>-22957</v>
      </c>
    </row>
    <row r="19" spans="2:12" x14ac:dyDescent="0.3">
      <c r="B19" t="s">
        <v>103</v>
      </c>
      <c r="C19" s="29">
        <v>20937</v>
      </c>
      <c r="D19" s="29">
        <v>30083</v>
      </c>
      <c r="E19" s="29">
        <v>52897</v>
      </c>
      <c r="F19" s="29">
        <v>74691</v>
      </c>
      <c r="G19" s="29">
        <v>37690</v>
      </c>
      <c r="H19" s="29">
        <v>38486</v>
      </c>
      <c r="I19" s="29">
        <v>47786</v>
      </c>
      <c r="J19" s="29">
        <v>23462</v>
      </c>
      <c r="K19" s="29">
        <v>19846</v>
      </c>
      <c r="L19" s="29">
        <v>23987</v>
      </c>
    </row>
    <row r="20" spans="2:12" x14ac:dyDescent="0.3">
      <c r="B20" t="s">
        <v>104</v>
      </c>
      <c r="C20">
        <v>315</v>
      </c>
      <c r="D20">
        <v>264</v>
      </c>
      <c r="E20">
        <v>297</v>
      </c>
      <c r="F20">
        <v>289</v>
      </c>
      <c r="G20">
        <v>351</v>
      </c>
      <c r="H20">
        <v>277</v>
      </c>
      <c r="I20">
        <v>161</v>
      </c>
      <c r="J20">
        <v>259</v>
      </c>
      <c r="K20">
        <v>425</v>
      </c>
      <c r="L20">
        <v>835</v>
      </c>
    </row>
    <row r="21" spans="2:12" x14ac:dyDescent="0.3">
      <c r="B21" t="s">
        <v>105</v>
      </c>
      <c r="C21">
        <v>33</v>
      </c>
      <c r="D21">
        <v>14</v>
      </c>
      <c r="E21">
        <v>0</v>
      </c>
      <c r="F21">
        <v>1</v>
      </c>
      <c r="G21">
        <v>1</v>
      </c>
      <c r="H21">
        <v>1</v>
      </c>
      <c r="I21">
        <v>1</v>
      </c>
      <c r="J21">
        <v>2</v>
      </c>
      <c r="K21">
        <v>3</v>
      </c>
      <c r="L21">
        <v>0</v>
      </c>
    </row>
    <row r="22" spans="2:12" x14ac:dyDescent="0.3">
      <c r="B22" t="s">
        <v>106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2:12" x14ac:dyDescent="0.3">
      <c r="B23" t="s">
        <v>107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2:12" x14ac:dyDescent="0.3">
      <c r="B24" t="s">
        <v>108</v>
      </c>
      <c r="C24">
        <v>161</v>
      </c>
      <c r="D24">
        <v>20</v>
      </c>
      <c r="E24">
        <v>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2:12" x14ac:dyDescent="0.3">
      <c r="B25" t="s">
        <v>109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-334</v>
      </c>
      <c r="K25">
        <v>0</v>
      </c>
      <c r="L25">
        <v>0</v>
      </c>
    </row>
    <row r="26" spans="2:12" x14ac:dyDescent="0.3">
      <c r="B26" t="s">
        <v>110</v>
      </c>
      <c r="C26">
        <v>-351</v>
      </c>
      <c r="D26">
        <v>597</v>
      </c>
      <c r="E26" s="29">
        <v>-1612</v>
      </c>
      <c r="F26">
        <v>-300</v>
      </c>
      <c r="G26">
        <v>649</v>
      </c>
      <c r="H26" s="29">
        <v>3994</v>
      </c>
      <c r="I26">
        <v>-101</v>
      </c>
      <c r="J26" s="29">
        <v>-1213</v>
      </c>
      <c r="K26" s="29">
        <v>-2804</v>
      </c>
      <c r="L26" s="29">
        <v>5870</v>
      </c>
    </row>
    <row r="27" spans="2:12" x14ac:dyDescent="0.3">
      <c r="B27" t="s">
        <v>111</v>
      </c>
      <c r="C27" s="29">
        <v>-3864</v>
      </c>
      <c r="D27" s="29">
        <v>-4214</v>
      </c>
      <c r="E27" s="29">
        <v>-4975</v>
      </c>
      <c r="F27" s="29">
        <v>-5390</v>
      </c>
      <c r="G27" s="29">
        <v>-6819</v>
      </c>
      <c r="H27" s="29">
        <v>-9309</v>
      </c>
      <c r="I27" s="29">
        <v>-8015</v>
      </c>
      <c r="J27" s="29">
        <v>-8953</v>
      </c>
      <c r="K27" s="29">
        <v>-10034</v>
      </c>
      <c r="L27" s="29">
        <v>-13101</v>
      </c>
    </row>
    <row r="28" spans="2:12" x14ac:dyDescent="0.3">
      <c r="B28" t="s">
        <v>112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2:12" x14ac:dyDescent="0.3">
      <c r="B29" t="s">
        <v>113</v>
      </c>
      <c r="C29">
        <v>177</v>
      </c>
      <c r="D29">
        <v>460</v>
      </c>
      <c r="E29">
        <v>0</v>
      </c>
      <c r="F29">
        <v>99</v>
      </c>
      <c r="G29">
        <v>0</v>
      </c>
      <c r="H29">
        <v>188</v>
      </c>
      <c r="I29">
        <v>55</v>
      </c>
      <c r="J29">
        <v>286</v>
      </c>
      <c r="K29">
        <v>0</v>
      </c>
      <c r="L29">
        <v>0</v>
      </c>
    </row>
    <row r="30" spans="2:12" x14ac:dyDescent="0.3">
      <c r="B30" t="s">
        <v>114</v>
      </c>
      <c r="C30">
        <v>0</v>
      </c>
      <c r="D30">
        <v>-360</v>
      </c>
      <c r="E30">
        <v>-277</v>
      </c>
      <c r="F30">
        <v>0</v>
      </c>
      <c r="G30">
        <v>-99</v>
      </c>
      <c r="H30">
        <v>-188</v>
      </c>
      <c r="I30">
        <v>-55</v>
      </c>
      <c r="J30">
        <v>-208</v>
      </c>
      <c r="K30">
        <v>-85</v>
      </c>
      <c r="L30">
        <v>0</v>
      </c>
    </row>
    <row r="31" spans="2:12" x14ac:dyDescent="0.3">
      <c r="B31" t="s">
        <v>115</v>
      </c>
      <c r="C31">
        <v>-2</v>
      </c>
      <c r="D31">
        <v>-14</v>
      </c>
      <c r="E31">
        <v>-6</v>
      </c>
      <c r="F31">
        <v>-7</v>
      </c>
      <c r="G31">
        <v>-90</v>
      </c>
      <c r="H31">
        <v>-92</v>
      </c>
      <c r="I31">
        <v>-82</v>
      </c>
      <c r="J31">
        <v>-88</v>
      </c>
      <c r="K31">
        <v>-110</v>
      </c>
      <c r="L31">
        <v>-130</v>
      </c>
    </row>
    <row r="32" spans="2:12" x14ac:dyDescent="0.3">
      <c r="B32" t="s">
        <v>116</v>
      </c>
      <c r="C32" s="29">
        <v>-3354</v>
      </c>
      <c r="D32" s="29">
        <v>-3572</v>
      </c>
      <c r="E32" s="29">
        <v>-3911</v>
      </c>
      <c r="F32" s="29">
        <v>-4554</v>
      </c>
      <c r="G32" s="29">
        <v>-5196</v>
      </c>
      <c r="H32" s="29">
        <v>-8811</v>
      </c>
      <c r="I32" s="29">
        <v>-7526</v>
      </c>
      <c r="J32" s="29">
        <v>-8474</v>
      </c>
      <c r="K32" s="29">
        <v>-9416</v>
      </c>
      <c r="L32" s="29">
        <v>-12473</v>
      </c>
    </row>
    <row r="33" spans="2:12" x14ac:dyDescent="0.3">
      <c r="B33" t="s">
        <v>117</v>
      </c>
      <c r="C33">
        <v>0</v>
      </c>
      <c r="D33">
        <v>0</v>
      </c>
      <c r="E33">
        <v>0</v>
      </c>
      <c r="F33">
        <v>0</v>
      </c>
      <c r="G33">
        <v>-373</v>
      </c>
      <c r="H33">
        <v>-406</v>
      </c>
      <c r="I33">
        <v>-407</v>
      </c>
      <c r="J33">
        <v>-467</v>
      </c>
      <c r="K33">
        <v>-423</v>
      </c>
      <c r="L33">
        <v>-498</v>
      </c>
    </row>
    <row r="34" spans="2:12" x14ac:dyDescent="0.3">
      <c r="B34" t="s">
        <v>118</v>
      </c>
      <c r="C34">
        <v>-685</v>
      </c>
      <c r="D34">
        <v>-728</v>
      </c>
      <c r="E34">
        <v>-781</v>
      </c>
      <c r="F34">
        <v>-928</v>
      </c>
      <c r="G34" s="29">
        <v>-1061</v>
      </c>
      <c r="H34">
        <v>0</v>
      </c>
      <c r="I34">
        <v>0</v>
      </c>
      <c r="J34">
        <v>-2</v>
      </c>
      <c r="K34">
        <v>0</v>
      </c>
      <c r="L34">
        <v>0</v>
      </c>
    </row>
    <row r="35" spans="2:12" x14ac:dyDescent="0.3">
      <c r="B35" t="s">
        <v>20</v>
      </c>
      <c r="C35">
        <v>25</v>
      </c>
      <c r="D35">
        <v>-202</v>
      </c>
      <c r="E35">
        <v>21</v>
      </c>
      <c r="F35">
        <v>-28</v>
      </c>
      <c r="G35" s="29">
        <v>2595</v>
      </c>
      <c r="H35" s="29">
        <v>-1374</v>
      </c>
      <c r="I35">
        <v>-695</v>
      </c>
      <c r="J35">
        <v>-446</v>
      </c>
      <c r="K35">
        <v>111</v>
      </c>
      <c r="L35" s="29">
        <v>5258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K93"/>
  <sheetViews>
    <sheetView zoomScale="120" zoomScaleNormal="120" zoomScalePageLayoutView="120" workbookViewId="0">
      <pane ySplit="1" topLeftCell="A53" activePane="bottomLeft" state="frozen"/>
      <selection pane="bottomLeft" activeCell="B23" sqref="B23"/>
    </sheetView>
  </sheetViews>
  <sheetFormatPr defaultColWidth="8.77734375" defaultRowHeight="14.4" x14ac:dyDescent="0.3"/>
  <cols>
    <col min="1" max="1" width="27.6640625" style="3" bestFit="1" customWidth="1"/>
    <col min="2" max="2" width="24.88671875" style="3" bestFit="1" customWidth="1"/>
    <col min="3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32</v>
      </c>
      <c r="E1" s="68" t="str">
        <f>IF(B2&lt;&gt;B3, "A NEW VERSION OF THE WORKSHEET IS AVAILABLE", "")</f>
        <v/>
      </c>
      <c r="F1" s="68"/>
      <c r="G1" s="68"/>
      <c r="H1" s="68"/>
      <c r="I1" s="68"/>
      <c r="J1" s="68"/>
      <c r="K1" s="68"/>
    </row>
    <row r="2" spans="1:11" x14ac:dyDescent="0.3">
      <c r="A2" s="1" t="s">
        <v>30</v>
      </c>
      <c r="B2" s="3">
        <v>2.1</v>
      </c>
      <c r="E2" s="69" t="s">
        <v>21</v>
      </c>
      <c r="F2" s="69"/>
      <c r="G2" s="69"/>
      <c r="H2" s="69"/>
      <c r="I2" s="69"/>
      <c r="J2" s="69"/>
      <c r="K2" s="69"/>
    </row>
    <row r="3" spans="1:11" x14ac:dyDescent="0.3">
      <c r="A3" s="1" t="s">
        <v>31</v>
      </c>
      <c r="B3" s="3">
        <v>2.1</v>
      </c>
    </row>
    <row r="4" spans="1:11" x14ac:dyDescent="0.3">
      <c r="A4" s="1"/>
    </row>
    <row r="5" spans="1:11" x14ac:dyDescent="0.3">
      <c r="A5" s="1" t="s">
        <v>33</v>
      </c>
    </row>
    <row r="6" spans="1:11" x14ac:dyDescent="0.3">
      <c r="A6" s="3" t="s">
        <v>27</v>
      </c>
      <c r="B6" s="3">
        <f>IF(B9&gt;0, B9/B8, 0)</f>
        <v>234.95910402810892</v>
      </c>
    </row>
    <row r="7" spans="1:11" x14ac:dyDescent="0.3">
      <c r="A7" s="3" t="s">
        <v>16</v>
      </c>
      <c r="B7">
        <v>1</v>
      </c>
    </row>
    <row r="8" spans="1:11" x14ac:dyDescent="0.3">
      <c r="A8" s="3" t="s">
        <v>28</v>
      </c>
      <c r="B8">
        <v>2390.6999999999998</v>
      </c>
    </row>
    <row r="9" spans="1:11" x14ac:dyDescent="0.3">
      <c r="A9" s="3" t="s">
        <v>43</v>
      </c>
      <c r="B9">
        <v>561716.73</v>
      </c>
    </row>
    <row r="15" spans="1:11" x14ac:dyDescent="0.3">
      <c r="A15" s="1" t="s">
        <v>22</v>
      </c>
    </row>
    <row r="16" spans="1:11" s="7" customFormat="1" x14ac:dyDescent="0.3">
      <c r="A16" s="6" t="s">
        <v>23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s="4" customFormat="1" x14ac:dyDescent="0.3">
      <c r="A17" s="4" t="s">
        <v>1</v>
      </c>
      <c r="B17">
        <v>32186</v>
      </c>
      <c r="C17">
        <v>33162</v>
      </c>
      <c r="D17">
        <v>35545</v>
      </c>
      <c r="E17">
        <v>39310</v>
      </c>
      <c r="F17">
        <v>39783</v>
      </c>
      <c r="G17">
        <v>47028</v>
      </c>
      <c r="H17">
        <v>52446</v>
      </c>
      <c r="I17">
        <v>60580</v>
      </c>
      <c r="J17">
        <v>61896</v>
      </c>
      <c r="K17">
        <v>63121</v>
      </c>
    </row>
    <row r="18" spans="1:11" s="4" customFormat="1" x14ac:dyDescent="0.3">
      <c r="A18" s="3" t="s">
        <v>44</v>
      </c>
      <c r="B18">
        <v>13184</v>
      </c>
      <c r="C18">
        <v>13606</v>
      </c>
      <c r="D18">
        <v>14233</v>
      </c>
      <c r="E18">
        <v>15845</v>
      </c>
      <c r="F18">
        <v>15697</v>
      </c>
      <c r="G18">
        <v>20141</v>
      </c>
      <c r="H18">
        <v>22871</v>
      </c>
      <c r="I18">
        <v>28427</v>
      </c>
      <c r="J18">
        <v>26822</v>
      </c>
      <c r="K18">
        <v>27344</v>
      </c>
    </row>
    <row r="19" spans="1:11" s="4" customFormat="1" x14ac:dyDescent="0.3">
      <c r="A19" s="3" t="s">
        <v>45</v>
      </c>
      <c r="B19">
        <v>-83</v>
      </c>
      <c r="C19">
        <v>-144</v>
      </c>
      <c r="D19">
        <v>72</v>
      </c>
      <c r="E19">
        <v>-12</v>
      </c>
      <c r="F19">
        <v>108</v>
      </c>
      <c r="G19">
        <v>405</v>
      </c>
      <c r="H19">
        <v>22</v>
      </c>
      <c r="I19">
        <v>75</v>
      </c>
      <c r="J19">
        <v>11</v>
      </c>
      <c r="K19">
        <v>153</v>
      </c>
    </row>
    <row r="20" spans="1:11" s="4" customFormat="1" x14ac:dyDescent="0.3">
      <c r="A20" s="3" t="s">
        <v>46</v>
      </c>
      <c r="B20">
        <v>309</v>
      </c>
      <c r="C20">
        <v>295</v>
      </c>
      <c r="D20">
        <v>295</v>
      </c>
      <c r="E20">
        <v>308</v>
      </c>
      <c r="F20">
        <v>299</v>
      </c>
      <c r="G20">
        <v>339</v>
      </c>
      <c r="H20">
        <v>318</v>
      </c>
      <c r="I20">
        <v>384</v>
      </c>
      <c r="J20">
        <v>446</v>
      </c>
      <c r="K20">
        <v>427</v>
      </c>
    </row>
    <row r="21" spans="1:11" s="4" customFormat="1" x14ac:dyDescent="0.3">
      <c r="A21" s="3" t="s">
        <v>47</v>
      </c>
      <c r="B21">
        <v>2966</v>
      </c>
      <c r="C21">
        <v>2887</v>
      </c>
      <c r="D21">
        <v>2998</v>
      </c>
      <c r="E21">
        <v>3041</v>
      </c>
      <c r="F21">
        <v>2906</v>
      </c>
      <c r="G21">
        <v>2868</v>
      </c>
      <c r="H21">
        <v>3354</v>
      </c>
      <c r="I21">
        <v>3791</v>
      </c>
      <c r="J21">
        <v>3385</v>
      </c>
      <c r="K21">
        <v>3834</v>
      </c>
    </row>
    <row r="22" spans="1:11" s="4" customFormat="1" x14ac:dyDescent="0.3">
      <c r="A22" s="3" t="s">
        <v>48</v>
      </c>
      <c r="B22">
        <v>1680</v>
      </c>
      <c r="C22">
        <v>1743</v>
      </c>
      <c r="D22">
        <v>1860</v>
      </c>
      <c r="E22">
        <v>1875</v>
      </c>
      <c r="F22">
        <v>1820</v>
      </c>
      <c r="G22">
        <v>2358</v>
      </c>
      <c r="H22">
        <v>2545</v>
      </c>
      <c r="I22">
        <v>2854</v>
      </c>
      <c r="J22">
        <v>3009</v>
      </c>
      <c r="K22">
        <v>3077</v>
      </c>
    </row>
    <row r="23" spans="1:11" s="4" customFormat="1" x14ac:dyDescent="0.3">
      <c r="A23" s="3" t="s">
        <v>49</v>
      </c>
      <c r="B23">
        <v>6741</v>
      </c>
      <c r="C23">
        <v>6689</v>
      </c>
      <c r="D23">
        <v>7252</v>
      </c>
      <c r="E23">
        <v>7796</v>
      </c>
      <c r="F23">
        <v>7620</v>
      </c>
      <c r="G23">
        <v>7906</v>
      </c>
      <c r="H23">
        <v>8164</v>
      </c>
      <c r="I23">
        <v>8785</v>
      </c>
      <c r="J23">
        <v>10780</v>
      </c>
      <c r="K23">
        <v>10693</v>
      </c>
    </row>
    <row r="24" spans="1:11" s="4" customFormat="1" x14ac:dyDescent="0.3">
      <c r="A24" s="3" t="s">
        <v>50</v>
      </c>
      <c r="B24">
        <v>1313</v>
      </c>
      <c r="C24">
        <v>1470</v>
      </c>
      <c r="D24">
        <v>1480</v>
      </c>
      <c r="E24">
        <v>1553</v>
      </c>
      <c r="F24">
        <v>1688</v>
      </c>
      <c r="G24">
        <v>2195</v>
      </c>
      <c r="H24">
        <v>2359</v>
      </c>
      <c r="I24">
        <v>2267</v>
      </c>
      <c r="J24">
        <v>2806</v>
      </c>
      <c r="K24">
        <v>3056</v>
      </c>
    </row>
    <row r="25" spans="1:11" s="4" customFormat="1" x14ac:dyDescent="0.3">
      <c r="A25" s="4" t="s">
        <v>4</v>
      </c>
      <c r="B25">
        <v>486</v>
      </c>
      <c r="C25">
        <v>606</v>
      </c>
      <c r="D25">
        <v>353</v>
      </c>
      <c r="E25">
        <v>322</v>
      </c>
      <c r="F25">
        <v>424</v>
      </c>
      <c r="G25">
        <v>170</v>
      </c>
      <c r="H25">
        <v>219</v>
      </c>
      <c r="I25">
        <v>448</v>
      </c>
      <c r="J25">
        <v>817</v>
      </c>
      <c r="K25">
        <v>1322</v>
      </c>
    </row>
    <row r="26" spans="1:11" s="4" customFormat="1" x14ac:dyDescent="0.3">
      <c r="A26" s="4" t="s">
        <v>5</v>
      </c>
      <c r="B26">
        <v>353</v>
      </c>
      <c r="C26">
        <v>432</v>
      </c>
      <c r="D26">
        <v>520</v>
      </c>
      <c r="E26">
        <v>565</v>
      </c>
      <c r="F26">
        <v>1002</v>
      </c>
      <c r="G26">
        <v>1074</v>
      </c>
      <c r="H26">
        <v>1091</v>
      </c>
      <c r="I26">
        <v>1137</v>
      </c>
      <c r="J26">
        <v>1216</v>
      </c>
      <c r="K26">
        <v>1355</v>
      </c>
    </row>
    <row r="27" spans="1:11" s="4" customFormat="1" x14ac:dyDescent="0.3">
      <c r="A27" s="4" t="s">
        <v>6</v>
      </c>
      <c r="B27">
        <v>17</v>
      </c>
      <c r="C27">
        <v>35</v>
      </c>
      <c r="D27">
        <v>26</v>
      </c>
      <c r="E27">
        <v>33</v>
      </c>
      <c r="F27">
        <v>118</v>
      </c>
      <c r="G27">
        <v>117</v>
      </c>
      <c r="H27">
        <v>106</v>
      </c>
      <c r="I27">
        <v>114</v>
      </c>
      <c r="J27">
        <v>334</v>
      </c>
      <c r="K27">
        <v>395</v>
      </c>
    </row>
    <row r="28" spans="1:11" s="4" customFormat="1" x14ac:dyDescent="0.3">
      <c r="A28" s="4" t="s">
        <v>7</v>
      </c>
      <c r="B28">
        <v>6026</v>
      </c>
      <c r="C28">
        <v>6467</v>
      </c>
      <c r="D28">
        <v>7306</v>
      </c>
      <c r="E28">
        <v>8604</v>
      </c>
      <c r="F28">
        <v>9165</v>
      </c>
      <c r="G28">
        <v>10605</v>
      </c>
      <c r="H28">
        <v>11879</v>
      </c>
      <c r="I28">
        <v>13344</v>
      </c>
      <c r="J28">
        <v>13926</v>
      </c>
      <c r="K28">
        <v>14415</v>
      </c>
    </row>
    <row r="29" spans="1:11" s="4" customFormat="1" x14ac:dyDescent="0.3">
      <c r="A29" s="4" t="s">
        <v>8</v>
      </c>
      <c r="B29">
        <v>1875</v>
      </c>
      <c r="C29">
        <v>1977</v>
      </c>
      <c r="D29">
        <v>2079</v>
      </c>
      <c r="E29">
        <v>2544</v>
      </c>
      <c r="F29">
        <v>2409</v>
      </c>
      <c r="G29">
        <v>2606</v>
      </c>
      <c r="H29">
        <v>2987</v>
      </c>
      <c r="I29">
        <v>3201</v>
      </c>
      <c r="J29">
        <v>3644</v>
      </c>
      <c r="K29">
        <v>3744</v>
      </c>
    </row>
    <row r="30" spans="1:11" s="4" customFormat="1" x14ac:dyDescent="0.3">
      <c r="A30" s="4" t="s">
        <v>9</v>
      </c>
      <c r="B30">
        <v>4151</v>
      </c>
      <c r="C30">
        <v>4476</v>
      </c>
      <c r="D30">
        <v>5214</v>
      </c>
      <c r="E30">
        <v>6054</v>
      </c>
      <c r="F30">
        <v>6748</v>
      </c>
      <c r="G30">
        <v>7995</v>
      </c>
      <c r="H30">
        <v>8879</v>
      </c>
      <c r="I30">
        <v>10120</v>
      </c>
      <c r="J30">
        <v>10277</v>
      </c>
      <c r="K30">
        <v>10649</v>
      </c>
    </row>
    <row r="31" spans="1:11" s="4" customFormat="1" x14ac:dyDescent="0.3">
      <c r="A31" s="4" t="s">
        <v>34</v>
      </c>
      <c r="B31">
        <v>3456</v>
      </c>
      <c r="C31">
        <v>3672</v>
      </c>
      <c r="D31">
        <v>4320</v>
      </c>
      <c r="E31">
        <v>4752</v>
      </c>
      <c r="F31">
        <v>5400</v>
      </c>
      <c r="G31">
        <v>9517.5</v>
      </c>
      <c r="H31">
        <v>7990</v>
      </c>
      <c r="I31">
        <v>9165</v>
      </c>
      <c r="J31">
        <v>9870</v>
      </c>
      <c r="K31">
        <v>12455</v>
      </c>
    </row>
    <row r="32" spans="1:11" s="4" customFormat="1" x14ac:dyDescent="0.3"/>
    <row r="33" spans="1:11" x14ac:dyDescent="0.3">
      <c r="A33" s="4"/>
    </row>
    <row r="34" spans="1:11" x14ac:dyDescent="0.3">
      <c r="A34" s="4"/>
    </row>
    <row r="35" spans="1:11" x14ac:dyDescent="0.3">
      <c r="A35" s="4"/>
    </row>
    <row r="36" spans="1:11" x14ac:dyDescent="0.3">
      <c r="A36" s="4"/>
    </row>
    <row r="37" spans="1:11" x14ac:dyDescent="0.3">
      <c r="A37" s="4"/>
    </row>
    <row r="38" spans="1:11" x14ac:dyDescent="0.3">
      <c r="A38" s="4"/>
    </row>
    <row r="39" spans="1:11" x14ac:dyDescent="0.3">
      <c r="A39" s="4"/>
    </row>
    <row r="40" spans="1:11" x14ac:dyDescent="0.3">
      <c r="A40" s="1" t="s">
        <v>24</v>
      </c>
    </row>
    <row r="41" spans="1:11" s="7" customFormat="1" x14ac:dyDescent="0.3">
      <c r="A41" s="6" t="s">
        <v>23</v>
      </c>
      <c r="B41" s="5">
        <v>45107</v>
      </c>
      <c r="C41" s="5">
        <v>45199</v>
      </c>
      <c r="D41" s="5">
        <v>45291</v>
      </c>
      <c r="E41" s="5">
        <v>45382</v>
      </c>
      <c r="F41" s="5">
        <v>45473</v>
      </c>
      <c r="G41" s="5">
        <v>45565</v>
      </c>
      <c r="H41" s="5">
        <v>45657</v>
      </c>
      <c r="I41" s="5">
        <v>45747</v>
      </c>
      <c r="J41" s="5">
        <v>45838</v>
      </c>
      <c r="K41" s="5">
        <v>45930</v>
      </c>
    </row>
    <row r="42" spans="1:11" s="4" customFormat="1" x14ac:dyDescent="0.3">
      <c r="A42" s="4" t="s">
        <v>1</v>
      </c>
      <c r="B42">
        <v>15496</v>
      </c>
      <c r="C42">
        <v>15623</v>
      </c>
      <c r="D42">
        <v>15567</v>
      </c>
      <c r="E42">
        <v>15210</v>
      </c>
      <c r="F42">
        <v>15707</v>
      </c>
      <c r="G42">
        <v>15926</v>
      </c>
      <c r="H42">
        <v>15818</v>
      </c>
      <c r="I42">
        <v>15670</v>
      </c>
      <c r="J42">
        <v>16514</v>
      </c>
      <c r="K42">
        <v>16241</v>
      </c>
    </row>
    <row r="43" spans="1:11" s="4" customFormat="1" x14ac:dyDescent="0.3">
      <c r="A43" s="4" t="s">
        <v>2</v>
      </c>
      <c r="B43">
        <v>11832</v>
      </c>
      <c r="C43">
        <v>11828</v>
      </c>
      <c r="D43">
        <v>11902</v>
      </c>
      <c r="E43">
        <v>11675</v>
      </c>
      <c r="F43">
        <v>11965</v>
      </c>
      <c r="G43">
        <v>12139</v>
      </c>
      <c r="H43">
        <v>12123</v>
      </c>
      <c r="I43">
        <v>12052</v>
      </c>
      <c r="J43">
        <v>12797</v>
      </c>
      <c r="K43">
        <v>12515</v>
      </c>
    </row>
    <row r="44" spans="1:11" s="4" customFormat="1" x14ac:dyDescent="0.3">
      <c r="A44" s="4" t="s">
        <v>4</v>
      </c>
      <c r="B44">
        <v>146</v>
      </c>
      <c r="C44">
        <v>178</v>
      </c>
      <c r="D44">
        <v>184</v>
      </c>
      <c r="E44">
        <v>309</v>
      </c>
      <c r="F44">
        <v>209</v>
      </c>
      <c r="G44">
        <v>203</v>
      </c>
      <c r="H44">
        <v>740</v>
      </c>
      <c r="I44">
        <v>171</v>
      </c>
      <c r="J44">
        <v>74</v>
      </c>
      <c r="K44">
        <v>331</v>
      </c>
    </row>
    <row r="45" spans="1:11" s="4" customFormat="1" x14ac:dyDescent="0.3">
      <c r="A45" s="4" t="s">
        <v>5</v>
      </c>
      <c r="B45">
        <v>286</v>
      </c>
      <c r="C45">
        <v>297</v>
      </c>
      <c r="D45">
        <v>313</v>
      </c>
      <c r="E45">
        <v>320</v>
      </c>
      <c r="F45">
        <v>329</v>
      </c>
      <c r="G45">
        <v>338</v>
      </c>
      <c r="H45">
        <v>341</v>
      </c>
      <c r="I45">
        <v>347</v>
      </c>
      <c r="J45">
        <v>361</v>
      </c>
      <c r="K45">
        <v>358</v>
      </c>
    </row>
    <row r="46" spans="1:11" s="4" customFormat="1" x14ac:dyDescent="0.3">
      <c r="A46" s="4" t="s">
        <v>6</v>
      </c>
      <c r="B46">
        <v>50</v>
      </c>
      <c r="C46">
        <v>88</v>
      </c>
      <c r="D46">
        <v>91</v>
      </c>
      <c r="E46">
        <v>105</v>
      </c>
      <c r="F46">
        <v>93</v>
      </c>
      <c r="G46">
        <v>110</v>
      </c>
      <c r="H46">
        <v>112</v>
      </c>
      <c r="I46">
        <v>80</v>
      </c>
      <c r="J46">
        <v>127</v>
      </c>
      <c r="K46">
        <v>129</v>
      </c>
    </row>
    <row r="47" spans="1:11" s="4" customFormat="1" x14ac:dyDescent="0.3">
      <c r="A47" s="4" t="s">
        <v>7</v>
      </c>
      <c r="B47">
        <v>3474</v>
      </c>
      <c r="C47">
        <v>3588</v>
      </c>
      <c r="D47">
        <v>3445</v>
      </c>
      <c r="E47">
        <v>3419</v>
      </c>
      <c r="F47">
        <v>3529</v>
      </c>
      <c r="G47">
        <v>3542</v>
      </c>
      <c r="H47">
        <v>3982</v>
      </c>
      <c r="I47">
        <v>3362</v>
      </c>
      <c r="J47">
        <v>3303</v>
      </c>
      <c r="K47">
        <v>3570</v>
      </c>
    </row>
    <row r="48" spans="1:11" s="4" customFormat="1" x14ac:dyDescent="0.3">
      <c r="A48" s="4" t="s">
        <v>8</v>
      </c>
      <c r="B48">
        <v>918</v>
      </c>
      <c r="C48">
        <v>931</v>
      </c>
      <c r="D48">
        <v>937</v>
      </c>
      <c r="E48">
        <v>858</v>
      </c>
      <c r="F48">
        <v>917</v>
      </c>
      <c r="G48">
        <v>947</v>
      </c>
      <c r="H48">
        <v>993</v>
      </c>
      <c r="I48">
        <v>887</v>
      </c>
      <c r="J48">
        <v>535</v>
      </c>
      <c r="K48">
        <v>876</v>
      </c>
    </row>
    <row r="49" spans="1:11" s="4" customFormat="1" x14ac:dyDescent="0.3">
      <c r="A49" s="4" t="s">
        <v>9</v>
      </c>
      <c r="B49">
        <v>2554</v>
      </c>
      <c r="C49">
        <v>2656</v>
      </c>
      <c r="D49">
        <v>2509</v>
      </c>
      <c r="E49">
        <v>2558</v>
      </c>
      <c r="F49">
        <v>2610</v>
      </c>
      <c r="G49">
        <v>2591</v>
      </c>
      <c r="H49">
        <v>2984</v>
      </c>
      <c r="I49">
        <v>2464</v>
      </c>
      <c r="J49">
        <v>2756</v>
      </c>
      <c r="K49">
        <v>2685</v>
      </c>
    </row>
    <row r="50" spans="1:11" x14ac:dyDescent="0.3">
      <c r="A50" s="4" t="s">
        <v>3</v>
      </c>
      <c r="B50">
        <v>3664</v>
      </c>
      <c r="C50">
        <v>3795</v>
      </c>
      <c r="D50">
        <v>3665</v>
      </c>
      <c r="E50">
        <v>3535</v>
      </c>
      <c r="F50">
        <v>3742</v>
      </c>
      <c r="G50">
        <v>3787</v>
      </c>
      <c r="H50">
        <v>3695</v>
      </c>
      <c r="I50">
        <v>3618</v>
      </c>
      <c r="J50">
        <v>3717</v>
      </c>
      <c r="K50">
        <v>3726</v>
      </c>
    </row>
    <row r="51" spans="1:11" x14ac:dyDescent="0.3">
      <c r="A51" s="4"/>
    </row>
    <row r="52" spans="1:11" x14ac:dyDescent="0.3">
      <c r="A52" s="4"/>
    </row>
    <row r="53" spans="1:11" x14ac:dyDescent="0.3">
      <c r="A53" s="4"/>
    </row>
    <row r="54" spans="1:11" x14ac:dyDescent="0.3">
      <c r="A54" s="4"/>
    </row>
    <row r="55" spans="1:11" x14ac:dyDescent="0.3">
      <c r="A55" s="1" t="s">
        <v>25</v>
      </c>
    </row>
    <row r="56" spans="1:11" s="7" customFormat="1" x14ac:dyDescent="0.3">
      <c r="A56" s="6" t="s">
        <v>23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3">
      <c r="A57" s="4" t="s">
        <v>10</v>
      </c>
      <c r="B57">
        <v>216</v>
      </c>
      <c r="C57">
        <v>216</v>
      </c>
      <c r="D57">
        <v>216</v>
      </c>
      <c r="E57">
        <v>216</v>
      </c>
      <c r="F57">
        <v>216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">
      <c r="A58" s="4" t="s">
        <v>11</v>
      </c>
      <c r="B58">
        <v>6357</v>
      </c>
      <c r="C58">
        <v>6528</v>
      </c>
      <c r="D58">
        <v>7065</v>
      </c>
      <c r="E58">
        <v>7651</v>
      </c>
      <c r="F58">
        <v>8013</v>
      </c>
      <c r="G58">
        <v>47439</v>
      </c>
      <c r="H58">
        <v>48826</v>
      </c>
      <c r="I58">
        <v>50069</v>
      </c>
      <c r="J58">
        <v>50983</v>
      </c>
      <c r="K58">
        <v>49167</v>
      </c>
    </row>
    <row r="59" spans="1:11" x14ac:dyDescent="0.3">
      <c r="A59" s="4" t="s">
        <v>35</v>
      </c>
      <c r="B59">
        <v>177</v>
      </c>
      <c r="C59">
        <v>277</v>
      </c>
      <c r="E59">
        <v>99</v>
      </c>
      <c r="H59">
        <v>1043</v>
      </c>
      <c r="I59">
        <v>1219</v>
      </c>
      <c r="J59">
        <v>1484</v>
      </c>
      <c r="K59">
        <v>1648</v>
      </c>
    </row>
    <row r="60" spans="1:11" x14ac:dyDescent="0.3">
      <c r="A60" s="4" t="s">
        <v>36</v>
      </c>
      <c r="B60">
        <v>8043</v>
      </c>
      <c r="C60">
        <v>8685</v>
      </c>
      <c r="D60">
        <v>10581</v>
      </c>
      <c r="E60">
        <v>10663</v>
      </c>
      <c r="F60">
        <v>11924</v>
      </c>
      <c r="G60">
        <v>21066</v>
      </c>
      <c r="H60">
        <v>20402</v>
      </c>
      <c r="I60">
        <v>21554</v>
      </c>
      <c r="J60">
        <v>25787</v>
      </c>
      <c r="K60">
        <v>28813</v>
      </c>
    </row>
    <row r="61" spans="1:11" s="1" customFormat="1" x14ac:dyDescent="0.3">
      <c r="A61" s="1" t="s">
        <v>12</v>
      </c>
      <c r="B61">
        <v>14793</v>
      </c>
      <c r="C61">
        <v>15706</v>
      </c>
      <c r="D61">
        <v>17862</v>
      </c>
      <c r="E61">
        <v>18629</v>
      </c>
      <c r="F61">
        <v>20153</v>
      </c>
      <c r="G61">
        <v>68740</v>
      </c>
      <c r="H61">
        <v>70506</v>
      </c>
      <c r="I61">
        <v>73077</v>
      </c>
      <c r="J61">
        <v>78489</v>
      </c>
      <c r="K61">
        <v>79863</v>
      </c>
    </row>
    <row r="62" spans="1:11" x14ac:dyDescent="0.3">
      <c r="A62" s="4" t="s">
        <v>13</v>
      </c>
      <c r="B62">
        <v>3258</v>
      </c>
      <c r="C62">
        <v>4419</v>
      </c>
      <c r="D62">
        <v>4528</v>
      </c>
      <c r="E62">
        <v>4715</v>
      </c>
      <c r="F62">
        <v>5479</v>
      </c>
      <c r="G62">
        <v>51443</v>
      </c>
      <c r="H62">
        <v>51473</v>
      </c>
      <c r="I62">
        <v>52678</v>
      </c>
      <c r="J62">
        <v>53744</v>
      </c>
      <c r="K62">
        <v>54335</v>
      </c>
    </row>
    <row r="63" spans="1:11" x14ac:dyDescent="0.3">
      <c r="A63" s="4" t="s">
        <v>14</v>
      </c>
      <c r="B63">
        <v>408</v>
      </c>
      <c r="C63">
        <v>229</v>
      </c>
      <c r="D63">
        <v>461</v>
      </c>
      <c r="E63">
        <v>406</v>
      </c>
      <c r="F63">
        <v>597</v>
      </c>
      <c r="G63">
        <v>745</v>
      </c>
      <c r="H63">
        <v>1313</v>
      </c>
      <c r="I63">
        <v>1132</v>
      </c>
      <c r="J63">
        <v>1025</v>
      </c>
      <c r="K63">
        <v>1009</v>
      </c>
    </row>
    <row r="64" spans="1:11" x14ac:dyDescent="0.3">
      <c r="A64" s="4" t="s">
        <v>15</v>
      </c>
      <c r="B64">
        <v>2592</v>
      </c>
      <c r="C64">
        <v>3794</v>
      </c>
      <c r="D64">
        <v>2873</v>
      </c>
      <c r="E64">
        <v>2716</v>
      </c>
      <c r="F64">
        <v>1255</v>
      </c>
      <c r="G64">
        <v>2709</v>
      </c>
      <c r="H64">
        <v>3521</v>
      </c>
      <c r="I64">
        <v>2882</v>
      </c>
      <c r="J64">
        <v>4625</v>
      </c>
      <c r="K64">
        <v>3810</v>
      </c>
    </row>
    <row r="65" spans="1:11" x14ac:dyDescent="0.3">
      <c r="A65" s="4" t="s">
        <v>37</v>
      </c>
      <c r="B65">
        <v>8535</v>
      </c>
      <c r="C65">
        <v>7264</v>
      </c>
      <c r="D65">
        <v>10000</v>
      </c>
      <c r="E65">
        <v>10792</v>
      </c>
      <c r="F65">
        <v>12822</v>
      </c>
      <c r="G65">
        <v>13843</v>
      </c>
      <c r="H65">
        <v>14199</v>
      </c>
      <c r="I65">
        <v>16385</v>
      </c>
      <c r="J65">
        <v>19095</v>
      </c>
      <c r="K65">
        <v>20709</v>
      </c>
    </row>
    <row r="66" spans="1:11" s="1" customFormat="1" x14ac:dyDescent="0.3">
      <c r="A66" s="1" t="s">
        <v>12</v>
      </c>
      <c r="B66">
        <v>14793</v>
      </c>
      <c r="C66">
        <v>15706</v>
      </c>
      <c r="D66">
        <v>17862</v>
      </c>
      <c r="E66">
        <v>18629</v>
      </c>
      <c r="F66">
        <v>20153</v>
      </c>
      <c r="G66">
        <v>68740</v>
      </c>
      <c r="H66">
        <v>70506</v>
      </c>
      <c r="I66">
        <v>73077</v>
      </c>
      <c r="J66">
        <v>78489</v>
      </c>
      <c r="K66">
        <v>79863</v>
      </c>
    </row>
    <row r="67" spans="1:11" s="4" customFormat="1" x14ac:dyDescent="0.3">
      <c r="A67" s="4" t="s">
        <v>42</v>
      </c>
      <c r="B67">
        <v>1264</v>
      </c>
      <c r="C67">
        <v>1085</v>
      </c>
      <c r="D67">
        <v>1310</v>
      </c>
      <c r="E67">
        <v>1816</v>
      </c>
      <c r="F67">
        <v>1149</v>
      </c>
      <c r="G67">
        <v>1758</v>
      </c>
      <c r="H67">
        <v>2236</v>
      </c>
      <c r="I67">
        <v>3079</v>
      </c>
      <c r="J67">
        <v>2997</v>
      </c>
      <c r="K67">
        <v>3819</v>
      </c>
    </row>
    <row r="68" spans="1:11" x14ac:dyDescent="0.3">
      <c r="A68" s="4" t="s">
        <v>29</v>
      </c>
      <c r="B68">
        <v>2726</v>
      </c>
      <c r="C68">
        <v>2541</v>
      </c>
      <c r="D68">
        <v>2513</v>
      </c>
      <c r="E68">
        <v>2574</v>
      </c>
      <c r="F68">
        <v>2767</v>
      </c>
      <c r="G68">
        <v>3579</v>
      </c>
      <c r="H68">
        <v>4096</v>
      </c>
      <c r="I68">
        <v>4251</v>
      </c>
      <c r="J68">
        <v>4022</v>
      </c>
      <c r="K68">
        <v>4415</v>
      </c>
    </row>
    <row r="69" spans="1:11" x14ac:dyDescent="0.3">
      <c r="A69" s="3" t="s">
        <v>51</v>
      </c>
      <c r="B69">
        <v>3009</v>
      </c>
      <c r="C69">
        <v>1828</v>
      </c>
      <c r="D69">
        <v>3485</v>
      </c>
      <c r="E69">
        <v>3757</v>
      </c>
      <c r="F69">
        <v>5113</v>
      </c>
      <c r="G69">
        <v>4471</v>
      </c>
      <c r="H69">
        <v>3846</v>
      </c>
      <c r="I69">
        <v>4678</v>
      </c>
      <c r="J69">
        <v>7559</v>
      </c>
      <c r="K69">
        <v>7554</v>
      </c>
    </row>
    <row r="70" spans="1:11" x14ac:dyDescent="0.3">
      <c r="A70" s="3" t="s">
        <v>38</v>
      </c>
      <c r="B70">
        <v>2163936971</v>
      </c>
      <c r="C70">
        <v>2164349639</v>
      </c>
      <c r="D70">
        <v>2164528777</v>
      </c>
      <c r="E70">
        <v>2164704405</v>
      </c>
      <c r="F70">
        <v>2164704405</v>
      </c>
      <c r="G70">
        <v>2349567819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">
      <c r="A71" s="3" t="s">
        <v>39</v>
      </c>
    </row>
    <row r="72" spans="1:11" x14ac:dyDescent="0.3">
      <c r="A72" s="3" t="s">
        <v>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4"/>
    </row>
    <row r="75" spans="1:11" x14ac:dyDescent="0.3">
      <c r="A75" s="4"/>
    </row>
    <row r="76" spans="1:11" x14ac:dyDescent="0.3">
      <c r="A76" s="4"/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1" t="s">
        <v>26</v>
      </c>
    </row>
    <row r="81" spans="1:11" s="7" customFormat="1" x14ac:dyDescent="0.3">
      <c r="A81" s="6" t="s">
        <v>23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</row>
    <row r="82" spans="1:11" s="1" customFormat="1" x14ac:dyDescent="0.3">
      <c r="A82" s="4" t="s">
        <v>17</v>
      </c>
      <c r="B82">
        <v>4171</v>
      </c>
      <c r="C82">
        <v>5185</v>
      </c>
      <c r="D82">
        <v>6059</v>
      </c>
      <c r="E82">
        <v>5800</v>
      </c>
      <c r="F82">
        <v>7623</v>
      </c>
      <c r="G82">
        <v>9163</v>
      </c>
      <c r="H82">
        <v>9048</v>
      </c>
      <c r="I82">
        <v>9991</v>
      </c>
      <c r="J82">
        <v>15469</v>
      </c>
      <c r="K82">
        <v>11886</v>
      </c>
    </row>
    <row r="83" spans="1:11" s="4" customFormat="1" x14ac:dyDescent="0.3">
      <c r="A83" s="4" t="s">
        <v>18</v>
      </c>
      <c r="B83">
        <v>-282</v>
      </c>
      <c r="C83">
        <v>-1173</v>
      </c>
      <c r="D83">
        <v>-1063</v>
      </c>
      <c r="E83">
        <v>-438</v>
      </c>
      <c r="F83">
        <v>1791</v>
      </c>
      <c r="G83">
        <v>-1228</v>
      </c>
      <c r="H83">
        <v>-1728</v>
      </c>
      <c r="I83">
        <v>-1484</v>
      </c>
      <c r="J83">
        <v>-5324</v>
      </c>
      <c r="K83">
        <v>6473</v>
      </c>
    </row>
    <row r="84" spans="1:11" s="4" customFormat="1" x14ac:dyDescent="0.3">
      <c r="A84" s="4" t="s">
        <v>19</v>
      </c>
      <c r="B84">
        <v>-3864</v>
      </c>
      <c r="C84">
        <v>-4214</v>
      </c>
      <c r="D84">
        <v>-4975</v>
      </c>
      <c r="E84">
        <v>-5390</v>
      </c>
      <c r="F84">
        <v>-6819</v>
      </c>
      <c r="G84">
        <v>-9309</v>
      </c>
      <c r="H84">
        <v>-8015</v>
      </c>
      <c r="I84">
        <v>-8953</v>
      </c>
      <c r="J84">
        <v>-10034</v>
      </c>
      <c r="K84">
        <v>-13101</v>
      </c>
    </row>
    <row r="85" spans="1:11" s="1" customFormat="1" x14ac:dyDescent="0.3">
      <c r="A85" s="4" t="s">
        <v>20</v>
      </c>
      <c r="B85">
        <v>25</v>
      </c>
      <c r="C85">
        <v>-202</v>
      </c>
      <c r="D85">
        <v>21</v>
      </c>
      <c r="E85">
        <v>-28</v>
      </c>
      <c r="F85">
        <v>2595</v>
      </c>
      <c r="G85">
        <v>-1374</v>
      </c>
      <c r="H85">
        <v>-695</v>
      </c>
      <c r="I85">
        <v>-446</v>
      </c>
      <c r="J85">
        <v>111</v>
      </c>
      <c r="K85">
        <v>5258</v>
      </c>
    </row>
    <row r="86" spans="1:11" x14ac:dyDescent="0.3">
      <c r="A86" s="4"/>
    </row>
    <row r="87" spans="1:11" x14ac:dyDescent="0.3">
      <c r="A87" s="4"/>
    </row>
    <row r="88" spans="1:11" x14ac:dyDescent="0.3">
      <c r="A88" s="4"/>
    </row>
    <row r="89" spans="1:11" x14ac:dyDescent="0.3">
      <c r="A89" s="4"/>
    </row>
    <row r="90" spans="1:11" s="1" customFormat="1" x14ac:dyDescent="0.3">
      <c r="A90" s="1" t="s">
        <v>41</v>
      </c>
      <c r="B90">
        <v>832.17</v>
      </c>
      <c r="C90">
        <v>872.61</v>
      </c>
      <c r="D90">
        <v>1276.1099999999999</v>
      </c>
      <c r="E90">
        <v>1633.53</v>
      </c>
      <c r="F90">
        <v>2199.83</v>
      </c>
      <c r="G90">
        <v>2327.12</v>
      </c>
      <c r="H90">
        <v>1960.7</v>
      </c>
      <c r="I90">
        <v>2450.44</v>
      </c>
      <c r="J90">
        <v>2167.14</v>
      </c>
      <c r="K90">
        <v>2161.88</v>
      </c>
    </row>
    <row r="92" spans="1:11" s="1" customFormat="1" x14ac:dyDescent="0.3">
      <c r="A92" s="1" t="s">
        <v>40</v>
      </c>
    </row>
    <row r="93" spans="1:11" x14ac:dyDescent="0.3">
      <c r="A93" s="3" t="s">
        <v>53</v>
      </c>
      <c r="B93" s="8">
        <v>216.39</v>
      </c>
      <c r="C93" s="8">
        <v>216.43</v>
      </c>
      <c r="D93" s="8">
        <v>216.45</v>
      </c>
      <c r="E93" s="8">
        <v>216.47</v>
      </c>
      <c r="F93" s="8">
        <v>216.48</v>
      </c>
      <c r="G93" s="8">
        <v>234.96</v>
      </c>
      <c r="H93" s="8">
        <v>234.96</v>
      </c>
      <c r="I93" s="8">
        <v>234.96</v>
      </c>
      <c r="J93" s="8">
        <v>234.96</v>
      </c>
      <c r="K93" s="8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Ratio Analysis</vt:lpstr>
      <vt:lpstr>Historical Financial Statement </vt:lpstr>
      <vt:lpstr>Forecasting</vt:lpstr>
      <vt:lpstr>Cash Flow Data 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kartik yadav</cp:lastModifiedBy>
  <cp:lastPrinted>2026-01-08T10:39:54Z</cp:lastPrinted>
  <dcterms:created xsi:type="dcterms:W3CDTF">2012-08-17T09:55:37Z</dcterms:created>
  <dcterms:modified xsi:type="dcterms:W3CDTF">2026-01-11T11:38:17Z</dcterms:modified>
</cp:coreProperties>
</file>